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Summary" sheetId="1" state="visible" r:id="rId1"/>
    <sheet xmlns:r="http://schemas.openxmlformats.org/officeDocument/2006/relationships" name="June 2026" sheetId="2" state="visible" r:id="rId2"/>
    <sheet xmlns:r="http://schemas.openxmlformats.org/officeDocument/2006/relationships" name="July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C3E50"/>
      <sz val="12"/>
    </font>
    <font>
      <name val="Arial"/>
      <b val="1"/>
      <color rgb="00495057"/>
      <sz val="9"/>
    </font>
    <font>
      <name val="Arial"/>
      <b val="1"/>
      <color rgb="00495057"/>
      <sz val="8"/>
    </font>
    <font>
      <name val="Arial"/>
      <color rgb="00333333"/>
      <sz val="9"/>
    </font>
    <font>
      <name val="Arial"/>
      <color rgb="00333333"/>
      <sz val="8"/>
    </font>
    <font>
      <name val="Arial"/>
      <b val="1"/>
      <color rgb="00333333"/>
      <sz val="9"/>
    </font>
    <font>
      <name val="Arial"/>
      <b val="1"/>
      <color rgb="002C3E50"/>
      <sz val="13"/>
    </font>
    <font>
      <name val="Arial"/>
      <color rgb="00333333"/>
      <sz val="10"/>
    </font>
    <font>
      <name val="Arial"/>
      <b val="1"/>
      <color rgb="00333333"/>
      <sz val="10"/>
    </font>
  </fonts>
  <fills count="13">
    <fill>
      <patternFill/>
    </fill>
    <fill>
      <patternFill patternType="gray125"/>
    </fill>
    <fill>
      <patternFill patternType="solid">
        <fgColor rgb="00ECF0F4"/>
      </patternFill>
    </fill>
    <fill>
      <patternFill patternType="solid">
        <fgColor rgb="00F4F5F7"/>
      </patternFill>
    </fill>
    <fill>
      <patternFill patternType="solid">
        <fgColor rgb="00F2F2F2"/>
      </patternFill>
    </fill>
    <fill>
      <patternFill patternType="solid">
        <fgColor rgb="00F0F6EC"/>
      </patternFill>
    </fill>
    <fill>
      <patternFill patternType="solid">
        <fgColor rgb="00FAE6E6"/>
      </patternFill>
    </fill>
    <fill>
      <patternFill patternType="solid">
        <fgColor rgb="00F2E8EE"/>
      </patternFill>
    </fill>
    <fill>
      <patternFill patternType="solid">
        <fgColor rgb="00E8EFF5"/>
      </patternFill>
    </fill>
    <fill>
      <patternFill patternType="solid">
        <fgColor rgb="00FBEAD8"/>
      </patternFill>
    </fill>
    <fill>
      <patternFill patternType="solid">
        <fgColor rgb="00F1F3F5"/>
      </patternFill>
    </fill>
    <fill>
      <patternFill patternType="solid">
        <fgColor rgb="00FBF4D9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top style="thin">
        <color rgb="00BDC3C7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46" fontId="8" fillId="0" borderId="0" applyAlignment="1" pivotButton="0" quotePrefix="0" xfId="0">
      <alignment horizontal="center" vertical="center"/>
    </xf>
    <xf numFmtId="46" fontId="9" fillId="10" borderId="0" applyAlignment="1" pivotButton="0" quotePrefix="0" xfId="0">
      <alignment horizontal="center" vertical="center"/>
    </xf>
    <xf numFmtId="46" fontId="9" fillId="12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0" fillId="10" borderId="1" pivotButton="0" quotePrefix="0" xfId="0"/>
    <xf numFmtId="46" fontId="9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46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46" fontId="5" fillId="6" borderId="0" applyAlignment="1" pivotButton="0" quotePrefix="0" xfId="0">
      <alignment horizontal="center" vertical="center"/>
    </xf>
    <xf numFmtId="46" fontId="4" fillId="0" borderId="0" applyAlignment="1" pivotButton="0" quotePrefix="0" xfId="0">
      <alignment horizontal="center" vertical="center"/>
    </xf>
    <xf numFmtId="46" fontId="5" fillId="7" borderId="0" applyAlignment="1" pivotButton="0" quotePrefix="0" xfId="0">
      <alignment horizontal="center" vertical="center"/>
    </xf>
    <xf numFmtId="46" fontId="5" fillId="8" borderId="0" applyAlignment="1" pivotButton="0" quotePrefix="0" xfId="0">
      <alignment horizontal="center" vertical="center"/>
    </xf>
    <xf numFmtId="46" fontId="5" fillId="9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46" fontId="6" fillId="10" borderId="1" applyAlignment="1" pivotButton="0" quotePrefix="0" xfId="0">
      <alignment horizontal="center" vertical="center"/>
    </xf>
    <xf numFmtId="46" fontId="5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Monitoring</author>
  </authors>
  <commentList>
    <comment ref="F3" authorId="0" shapeId="0">
      <text>
        <t>Sum of the earned hours (net of excesses) across all processed months. Formula: =SUM(monthly columns).</t>
      </text>
    </comment>
    <comment ref="G3" authorId="0" shapeId="0">
      <text>
        <t>Total Earned Hours capped at 150 h (recognized limit). Formula: =MIN(Total, 150/24).</t>
      </text>
    </comment>
    <comment ref="H3" authorId="0" shapeId="0">
      <text>
        <t>Total discarded excess hours (not recognizable):
= raw total hours used - effective earned hours.
Includes: weekend, after 18:00, early-morning (06:00-07:40),
oltre cap 8h/giorno e (in Modalità B) eccesso ore LAV.
Sum of 'Total Excess' of each monthly sheet.</t>
      </text>
    </comment>
    <comment ref="I3" authorId="0" shapeId="0">
      <text>
        <t>Same value as 'Min(150 h)' in text format 'X H YY M ZZ S' (e.g. '150 H 00 M 00 S'). Excel formula with TEXT() and MOD().</t>
      </text>
    </comment>
  </commentList>
</comments>
</file>

<file path=xl/comments/comment2.xml><?xml version="1.0" encoding="utf-8"?>
<comments xmlns="http://schemas.openxmlformats.org/spreadsheetml/2006/main">
  <authors>
    <author>Monitoring</author>
  </authors>
  <commentList>
    <comment ref="AH3" authorId="0" shapeId="0">
      <text>
        <t>Sum of the effective hours of the month
(= total hours used - excess hours).
Matches the sum of the daily cells.</t>
      </text>
    </comment>
    <comment ref="AI3" authorId="0" shapeId="0">
      <text>
        <t>Sum of the total hours used in the month (effective + excess).</t>
      </text>
    </comment>
    <comment ref="AJ3" authorId="0" shapeId="0">
      <text>
        <t>Total excess hours of the month
(= Total Hours - Total Effective Hours).
Includes worked-hours, weekend, after evening-threshold excess,
early-morning and over the 8h/day cap.</t>
      </text>
    </comment>
    <comment ref="AK3" authorId="0" shapeId="0">
      <text>
        <t>Study hours exceeding the LAV hours (attendance register)
declared for that day, or study hours on declared
absence days.</t>
      </text>
    </comment>
    <comment ref="AL3" authorId="0" shapeId="0">
      <text>
        <t>Study hours on Saturdays and Sundays.</t>
      </text>
    </comment>
    <comment ref="AM3" authorId="0" shapeId="0">
      <text>
        <t>Study hours after 18:00.
Tolerance 20 min/day (below this threshold not counted).</t>
      </text>
    </comment>
    <comment ref="AN3" authorId="0" shapeId="0">
      <text>
        <t>Study hours between 06:00 and 07:40.
Tolerance 20 min/day (below this threshold not counted).</t>
      </text>
    </comment>
    <comment ref="AD4" authorId="0" shapeId="0">
      <text>
        <t>Total hours: 01:45:22
Excess: 01:45:22
- Weekend: 01:45:22</t>
      </text>
    </comment>
    <comment ref="AE4" authorId="0" shapeId="0">
      <text>
        <t>Total hours: 02:29:16
Excess: 02:29:16
- Weekend: 02:29:16</t>
      </text>
    </comment>
    <comment ref="J5" authorId="0" shapeId="0">
      <text>
        <t>Total hours: 02:38:53
Excess: 02:38:53
- Weekend: 02:38:53</t>
      </text>
    </comment>
    <comment ref="P5" authorId="0" shapeId="0">
      <text>
        <t>Total hours: 02:26:51
Excess: 02:26:51
- Weekend: 02:26:51</t>
      </text>
    </comment>
    <comment ref="W5" authorId="0" shapeId="0">
      <text>
        <t>Total hours: 01:06:01
Excess: 01:06:01
- Weekend: 01:06:01</t>
      </text>
    </comment>
    <comment ref="AE5" authorId="0" shapeId="0">
      <text>
        <t>Total hours: 01:55:57
Excess: 01:55:57
- Weekend: 01:55:57</t>
      </text>
    </comment>
    <comment ref="G6" authorId="0" shapeId="0">
      <text>
        <t>Total hours: 01:11:55
Excess: 01:11:55
- After 18:00: 01:11:55</t>
      </text>
    </comment>
    <comment ref="K6" authorId="0" shapeId="0">
      <text>
        <t>Total hours: 00:55:47
Excess: 00:55:47
- After 18:00: 00:55:47</t>
      </text>
    </comment>
    <comment ref="M6" authorId="0" shapeId="0">
      <text>
        <t>Total hours: 01:21:09
Excess: 01:21:09
- After 18:00: 01:21:09</t>
      </text>
    </comment>
    <comment ref="R6" authorId="0" shapeId="0">
      <text>
        <t>Total hours: 00:53:00
Excess: 00:53:00
- After 18:00: 00:53:00</t>
      </text>
    </comment>
    <comment ref="S6" authorId="0" shapeId="0">
      <text>
        <t>Total hours: 01:36:56
Excess: 01:36:56
- After 18:00: 01:36:56</t>
      </text>
    </comment>
    <comment ref="U6" authorId="0" shapeId="0">
      <text>
        <t>Total hours: 01:00:51
Excess: 01:00:51
- After 18:00: 01:00:51</t>
      </text>
    </comment>
    <comment ref="V6" authorId="0" shapeId="0">
      <text>
        <t>Total hours: 01:12:53
Excess: 01:12:53
- After 18:00: 01:12:53</t>
      </text>
    </comment>
    <comment ref="Y6" authorId="0" shapeId="0">
      <text>
        <t>Total hours: 01:01:41
Excess: 01:01:41
- After 18:00: 01:01:41</t>
      </text>
    </comment>
    <comment ref="AA6" authorId="0" shapeId="0">
      <text>
        <t>Total hours: 01:26:46
Excess: 01:26:46
- After 18:00: 01:26:46</t>
      </text>
    </comment>
    <comment ref="AB6" authorId="0" shapeId="0">
      <text>
        <t>Total hours: 01:35:50
Excess: 01:35:50
- After 18:00: 01:35:50</t>
      </text>
    </comment>
    <comment ref="AC6" authorId="0" shapeId="0">
      <text>
        <t>Total hours: 00:56:58
Excess: 00:56:58
- After 18:00: 00:56:58</t>
      </text>
    </comment>
    <comment ref="AF6" authorId="0" shapeId="0">
      <text>
        <t>Total hours: 01:27:55
Excess: 01:27:55
- After 18:00: 01:27:55</t>
      </text>
    </comment>
    <comment ref="AG6" authorId="0" shapeId="0">
      <text>
        <t>Total hours: 01:36:46
Excess: 01:36:46
- After 18:00: 01:36:46</t>
      </text>
    </comment>
    <comment ref="I8" authorId="0" shapeId="0">
      <text>
        <t>Total hours: 01:37:30
Excess: 01:37:30
- Weekend: 01:37:30</t>
      </text>
    </comment>
    <comment ref="W8" authorId="0" shapeId="0">
      <text>
        <t>Total hours: 02:30:23
Excess: 02:30:23
- Weekend: 02:30:23</t>
      </text>
    </comment>
    <comment ref="X8" authorId="0" shapeId="0">
      <text>
        <t>Total hours: 01:58:49
Excess: 01:58:49
- Weekend: 01:58:49</t>
      </text>
    </comment>
    <comment ref="AD8" authorId="0" shapeId="0">
      <text>
        <t>Total hours: 00:42:20
Excess: 00:42:20
- Weekend: 00:42:20</t>
      </text>
    </comment>
    <comment ref="AE8" authorId="0" shapeId="0">
      <text>
        <t>Total hours: 00:46:07
Excess: 00:46:07
- Weekend: 00:46:07</t>
      </text>
    </comment>
    <comment ref="E9" authorId="0" shapeId="0">
      <text>
        <t>Total hours: 01:08:29
Excess: 01:08:29
- Early morning (06:00-07:40): 01:08:29</t>
      </text>
    </comment>
    <comment ref="G9" authorId="0" shapeId="0">
      <text>
        <t>Total hours: 00:46:22
Excess: 00:46:22
- Early morning (06:00-07:40): 00:46:22</t>
      </text>
    </comment>
    <comment ref="H9" authorId="0" shapeId="0">
      <text>
        <t>Total hours: 01:08:54
Excess: 01:01:06
- Early morning (06:00-07:40): 01:01:06</t>
      </text>
    </comment>
    <comment ref="I9" authorId="0" shapeId="0">
      <text>
        <t>Total hours: 00:47:42
Excess: 00:47:42
- Weekend: 00:47:42</t>
      </text>
    </comment>
    <comment ref="N9" authorId="0" shapeId="0">
      <text>
        <t>Total hours: 01:10:09
Excess: 01:10:09
- Early morning (06:00-07:40): 01:10:09</t>
      </text>
    </comment>
    <comment ref="R9" authorId="0" shapeId="0">
      <text>
        <t>Total hours: 00:56:48
Excess: 00:56:48
- Early morning (06:00-07:40): 00:56:48</t>
      </text>
    </comment>
    <comment ref="T9" authorId="0" shapeId="0">
      <text>
        <t>Total hours: 00:30:41
Excess: 00:30:41
- Early morning (06:00-07:40): 00:30:41</t>
      </text>
    </comment>
    <comment ref="V9" authorId="0" shapeId="0">
      <text>
        <t>Total hours: 00:48:25
Excess: 00:48:25
- Early morning (06:00-07:40): 00:48:25</t>
      </text>
    </comment>
    <comment ref="AB9" authorId="0" shapeId="0">
      <text>
        <t>Total hours: 00:52:03
Excess: 00:51:40
- Early morning (06:00-07:40): 00:51:40</t>
      </text>
    </comment>
    <comment ref="AC9" authorId="0" shapeId="0">
      <text>
        <t>Total hours: 00:39:11
Excess: 00:39:11
- Early morning (06:00-07:40): 00:39:11</t>
      </text>
    </comment>
    <comment ref="AF9" authorId="0" shapeId="0">
      <text>
        <t>Total hours: 01:09:51
Excess: 01:09:49
- Early morning (06:00-07:40): 01:09:49</t>
      </text>
    </comment>
    <comment ref="J10" authorId="0" shapeId="0">
      <text>
        <t>Total hours: 05:22:08
Excess: 05:22:08
- Weekend: 05:22:08</t>
      </text>
    </comment>
    <comment ref="P10" authorId="0" shapeId="0">
      <text>
        <t>Total hours: 03:06:29
Excess: 03:06:29
- Weekend: 03:06:29</t>
      </text>
    </comment>
    <comment ref="AC10" authorId="0" shapeId="0">
      <text>
        <t>Total hours: 08:39:45
Excess: 00:39:45
- Over the 8h/day cap: 00:39:45</t>
      </text>
    </comment>
    <comment ref="D11" authorId="0" shapeId="0">
      <text>
        <t>Total hours: 01:01:52
Excess: 01:01:52
- Early morning (06:00-07:40): 01:01:52</t>
      </text>
    </comment>
    <comment ref="E11" authorId="0" shapeId="0">
      <text>
        <t>Total hours: 01:22:15
Excess: 01:22:15
- Early morning (06:00-07:40): 01:22:15</t>
      </text>
    </comment>
    <comment ref="F11" authorId="0" shapeId="0">
      <text>
        <t>Total hours: 00:43:56
Excess: 00:43:56
- Early morning (06:00-07:40): 00:43:56</t>
      </text>
    </comment>
    <comment ref="G11" authorId="0" shapeId="0">
      <text>
        <t>Total hours: 01:23:56
Excess: 01:03:59
- Early morning (06:00-07:40): 01:03:59</t>
      </text>
    </comment>
    <comment ref="K11" authorId="0" shapeId="0">
      <text>
        <t>Total hours: 01:05:15
Excess: 01:05:15
- Early morning (06:00-07:40): 01:05:15</t>
      </text>
    </comment>
    <comment ref="M11" authorId="0" shapeId="0">
      <text>
        <t>Total hours: 01:29:58
Excess: 01:20:25
- Early morning (06:00-07:40): 01:20:25</t>
      </text>
    </comment>
    <comment ref="N11" authorId="0" shapeId="0">
      <text>
        <t>Total hours: 00:51:32
Excess: 00:51:32
- Early morning (06:00-07:40): 00:51:32</t>
      </text>
    </comment>
    <comment ref="S11" authorId="0" shapeId="0">
      <text>
        <t>Total hours: 01:11:09
Excess: 01:08:32
- Early morning (06:00-07:40): 01:08:32</t>
      </text>
    </comment>
    <comment ref="Y11" authorId="0" shapeId="0">
      <text>
        <t>Total hours: 00:43:08
Excess: 00:43:08
- Early morning (06:00-07:40): 00:43:08</t>
      </text>
    </comment>
    <comment ref="Z11" authorId="0" shapeId="0">
      <text>
        <t>Total hours: 01:13:15
Excess: 01:03:30
- Early morning (06:00-07:40): 01:03:30</t>
      </text>
    </comment>
    <comment ref="AA11" authorId="0" shapeId="0">
      <text>
        <t>Total hours: 01:08:47
Excess: 00:53:21
- Early morning (06:00-07:40): 00:53:21</t>
      </text>
    </comment>
    <comment ref="AC11" authorId="0" shapeId="0">
      <text>
        <t>Total hours: 00:37:53
Excess: 00:37:53
- Early morning (06:00-07:40): 00:37:53</t>
      </text>
    </comment>
    <comment ref="AF11" authorId="0" shapeId="0">
      <text>
        <t>Total hours: 01:22:35
Excess: 00:58:36
- Early morning (06:00-07:40): 00:58:36</t>
      </text>
    </comment>
    <comment ref="AG11" authorId="0" shapeId="0">
      <text>
        <t>Total hours: 01:19:50
Excess: 00:52:54
- Early morning (06:00-07:40): 00:52:54</t>
      </text>
    </comment>
    <comment ref="D12" authorId="0" shapeId="0">
      <text>
        <t>Total hours: 01:37:58
Excess: 01:37:58
- After 18:00: 01:37:58</t>
      </text>
    </comment>
    <comment ref="E12" authorId="0" shapeId="0">
      <text>
        <t>Total hours: 01:27:04
Excess: 01:27:04
- After 18:00: 01:27:04</t>
      </text>
    </comment>
    <comment ref="F12" authorId="0" shapeId="0">
      <text>
        <t>Total hours: 01:16:03
Excess: 01:16:03
- After 18:00: 01:16:03</t>
      </text>
    </comment>
    <comment ref="J12" authorId="0" shapeId="0">
      <text>
        <t>Total hours: 01:42:15
Excess: 01:42:15
- Weekend: 01:42:15</t>
      </text>
    </comment>
    <comment ref="K12" authorId="0" shapeId="0">
      <text>
        <t>Total hours: 01:45:35
Excess: 01:45:35
- After 18:00: 01:45:35</t>
      </text>
    </comment>
    <comment ref="L12" authorId="0" shapeId="0">
      <text>
        <t>Total hours: 01:22:58
Excess: 01:22:58
- After 18:00: 01:22:58</t>
      </text>
    </comment>
    <comment ref="M12" authorId="0" shapeId="0">
      <text>
        <t>Total hours: 01:17:07
Excess: 01:17:07
- After 18:00: 01:17:07</t>
      </text>
    </comment>
    <comment ref="S12" authorId="0" shapeId="0">
      <text>
        <t>Total hours: 00:54:03
Excess: 00:54:03
- After 18:00: 00:54:03</t>
      </text>
    </comment>
    <comment ref="T12" authorId="0" shapeId="0">
      <text>
        <t>Total hours: 00:51:37
Excess: 00:51:37
- After 18:00: 00:51:37</t>
      </text>
    </comment>
    <comment ref="U12" authorId="0" shapeId="0">
      <text>
        <t>Total hours: 01:12:18
Excess: 01:12:18
- After 18:00: 01:12:18</t>
      </text>
    </comment>
    <comment ref="V12" authorId="0" shapeId="0">
      <text>
        <t>Total hours: 01:18:21
Excess: 01:18:21
- After 18:00: 01:18:21</t>
      </text>
    </comment>
    <comment ref="Y12" authorId="0" shapeId="0">
      <text>
        <t>Total hours: 01:04:09
Excess: 01:04:09
- After 18:00: 01:04:09</t>
      </text>
    </comment>
    <comment ref="AE12" authorId="0" shapeId="0">
      <text>
        <t>Total hours: 00:57:05
Excess: 00:57:05
- Weekend: 00:57:05</t>
      </text>
    </comment>
    <comment ref="AF12" authorId="0" shapeId="0">
      <text>
        <t>Total hours: 01:38:22
Excess: 01:38:22
- After 18:00: 01:38:22</t>
      </text>
    </comment>
    <comment ref="AG12" authorId="0" shapeId="0">
      <text>
        <t>Total hours: 01:41:51
Excess: 01:41:51
- After 18:00: 01:41:51</t>
      </text>
    </comment>
    <comment ref="I14" authorId="0" shapeId="0">
      <text>
        <t>Total hours: 02:43:51
Excess: 02:43:51
- Weekend: 02:43:51</t>
      </text>
    </comment>
    <comment ref="P14" authorId="0" shapeId="0">
      <text>
        <t>Total hours: 00:45:59
Excess: 00:45:59
- Weekend: 00:45:59</t>
      </text>
    </comment>
    <comment ref="Q14" authorId="0" shapeId="0">
      <text>
        <t>Total hours: 01:34:46
Excess: 01:34:46
- Weekend: 01:34:46</t>
      </text>
    </comment>
    <comment ref="X14" authorId="0" shapeId="0">
      <text>
        <t>Total hours: 01:08:08
Excess: 01:08:08
- Weekend: 01:08:08</t>
      </text>
    </comment>
    <comment ref="AD14" authorId="0" shapeId="0">
      <text>
        <t>Total hours: 02:07:10
Excess: 02:07:10
- Weekend: 02:07:10</t>
      </text>
    </comment>
    <comment ref="AE14" authorId="0" shapeId="0">
      <text>
        <t>Total hours: 01:13:04
Excess: 01:13:04
- Weekend: 01:13:04</t>
      </text>
    </comment>
    <comment ref="D15" authorId="0" shapeId="0">
      <text>
        <t>Total hours: 01:09:36
Excess: 01:09:36
- After 18:00: 01:09:36</t>
      </text>
    </comment>
    <comment ref="G15" authorId="0" shapeId="0">
      <text>
        <t>Total hours: 01:24:38
Excess: 01:24:38
- After 18:00: 01:24:38</t>
      </text>
    </comment>
    <comment ref="K15" authorId="0" shapeId="0">
      <text>
        <t>Total hours: 01:29:12
Excess: 01:29:12
- After 18:00: 01:29:12</t>
      </text>
    </comment>
    <comment ref="M15" authorId="0" shapeId="0">
      <text>
        <t>Total hours: 00:54:12
Excess: 00:54:12
- After 18:00: 00:54:12</t>
      </text>
    </comment>
    <comment ref="N15" authorId="0" shapeId="0">
      <text>
        <t>Total hours: 01:22:28
Excess: 01:22:28
- After 18:00: 01:22:28</t>
      </text>
    </comment>
    <comment ref="Q15" authorId="0" shapeId="0">
      <text>
        <t>Total hours: 01:34:15
Excess: 01:34:15
- Weekend: 01:34:15</t>
      </text>
    </comment>
    <comment ref="R15" authorId="0" shapeId="0">
      <text>
        <t>Total hours: 00:57:14
Excess: 00:57:14
- After 18:00: 00:57:14</t>
      </text>
    </comment>
    <comment ref="T15" authorId="0" shapeId="0">
      <text>
        <t>Total hours: 01:50:31
Excess: 01:50:31
- After 18:00: 01:50:31</t>
      </text>
    </comment>
    <comment ref="U15" authorId="0" shapeId="0">
      <text>
        <t>Total hours: 00:59:40
Excess: 00:59:40
- After 18:00: 00:59:40</t>
      </text>
    </comment>
    <comment ref="V15" authorId="0" shapeId="0">
      <text>
        <t>Total hours: 01:52:26
Excess: 01:52:26
- After 18:00: 01:52:26</t>
      </text>
    </comment>
    <comment ref="Y15" authorId="0" shapeId="0">
      <text>
        <t>Total hours: 01:09:48
Excess: 01:09:48
- After 18:00: 01:09:48</t>
      </text>
    </comment>
    <comment ref="Z15" authorId="0" shapeId="0">
      <text>
        <t>Total hours: 01:55:48
Excess: 01:55:48
- After 18:00: 01:55:48</t>
      </text>
    </comment>
    <comment ref="AA15" authorId="0" shapeId="0">
      <text>
        <t>Total hours: 01:52:57
Excess: 01:52:57
- After 18:00: 01:52:57</t>
      </text>
    </comment>
    <comment ref="AC15" authorId="0" shapeId="0">
      <text>
        <t>Total hours: 00:50:03
Excess: 00:50:03
- After 18:00: 00:50:03</t>
      </text>
    </comment>
    <comment ref="AF15" authorId="0" shapeId="0">
      <text>
        <t>Total hours: 01:29:12
Excess: 01:29:12
- After 18:00: 01:29:12</t>
      </text>
    </comment>
    <comment ref="AG15" authorId="0" shapeId="0">
      <text>
        <t>Total hours: 01:08:51
Excess: 01:08:51
- After 18:00: 01:08:51</t>
      </text>
    </comment>
  </commentList>
</comments>
</file>

<file path=xl/comments/comment3.xml><?xml version="1.0" encoding="utf-8"?>
<comments xmlns="http://schemas.openxmlformats.org/spreadsheetml/2006/main">
  <authors>
    <author>Monitoring</author>
  </authors>
  <commentList>
    <comment ref="AI3" authorId="0" shapeId="0">
      <text>
        <t>Sum of the effective hours of the month
(= total hours used - excess hours).
Matches the sum of the daily cells.</t>
      </text>
    </comment>
    <comment ref="AJ3" authorId="0" shapeId="0">
      <text>
        <t>Sum of the total hours used in the month (effective + excess).</t>
      </text>
    </comment>
    <comment ref="AK3" authorId="0" shapeId="0">
      <text>
        <t>Total excess hours of the month
(= Total Hours - Total Effective Hours).
Includes worked-hours, weekend, after evening-threshold excess,
early-morning and over the 8h/day cap.</t>
      </text>
    </comment>
    <comment ref="AL3" authorId="0" shapeId="0">
      <text>
        <t>Study hours exceeding the LAV hours (attendance register)
declared for that day, or study hours on declared
absence days.</t>
      </text>
    </comment>
    <comment ref="AM3" authorId="0" shapeId="0">
      <text>
        <t>Study hours on Saturdays and Sundays.</t>
      </text>
    </comment>
    <comment ref="AN3" authorId="0" shapeId="0">
      <text>
        <t>Study hours after 18:00.
Tolerance 20 min/day (below this threshold not counted).</t>
      </text>
    </comment>
    <comment ref="AO3" authorId="0" shapeId="0">
      <text>
        <t>Study hours between 06:00 and 07:40.
Tolerance 20 min/day (below this threshold not counted).</t>
      </text>
    </comment>
    <comment ref="I4" authorId="0" shapeId="0">
      <text>
        <t>Total hours: 02:39:54
Excess: 02:39:54
- Worked-hours excess: 02:39:54</t>
      </text>
    </comment>
    <comment ref="J4" authorId="0" shapeId="0">
      <text>
        <t>Total hours: 02:47:30
Excess: 02:47:30
- Worked-hours excess: 02:47:30</t>
      </text>
    </comment>
    <comment ref="X4" authorId="0" shapeId="0">
      <text>
        <t>Total hours: 01:08:32
Excess: 01:08:32
- Worked-hours excess: 01:08:32</t>
      </text>
    </comment>
    <comment ref="AB4" authorId="0" shapeId="0">
      <text>
        <t>Total hours: 00:58:29
Excess: 00:58:29
- Weekend: 00:58:29</t>
      </text>
    </comment>
    <comment ref="AD4" authorId="0" shapeId="0">
      <text>
        <t>Total hours: 01:52:40
Excess: 01:52:40
- Worked-hours excess: 01:52:40</t>
      </text>
    </comment>
    <comment ref="AE4" authorId="0" shapeId="0">
      <text>
        <t>Total hours: 02:35:54
Excess: 02:35:54
- Worked-hours excess: 02:35:54</t>
      </text>
    </comment>
    <comment ref="G5" authorId="0" shapeId="0">
      <text>
        <t>Total hours: 02:31:34
Excess: 02:31:34
- Weekend: 02:31:34</t>
      </text>
    </comment>
    <comment ref="H5" authorId="0" shapeId="0">
      <text>
        <t>Total hours: 02:19:43
Excess: 02:19:43
- Weekend: 02:19:43</t>
      </text>
    </comment>
    <comment ref="O5" authorId="0" shapeId="0">
      <text>
        <t>Total hours: 02:43:34
Excess: 02:43:34
- Weekend: 02:43:34</t>
      </text>
    </comment>
    <comment ref="U5" authorId="0" shapeId="0">
      <text>
        <t>Total hours: 02:13:02
Excess: 02:13:02
- Weekend: 02:13:02</t>
      </text>
    </comment>
    <comment ref="X5" authorId="0" shapeId="0">
      <text>
        <t>Total hours: 01:15:24
Excess: 01:15:24
- Worked-hours excess: 01:15:24</t>
      </text>
    </comment>
    <comment ref="AC5" authorId="0" shapeId="0">
      <text>
        <t>Total hours: 02:12:34
Excess: 02:12:34
- Weekend: 02:12:34</t>
      </text>
    </comment>
    <comment ref="AE5" authorId="0" shapeId="0">
      <text>
        <t>Total hours: 02:01:32
Excess: 02:01:32
- Worked-hours excess: 02:01:32</t>
      </text>
    </comment>
    <comment ref="D6" authorId="0" shapeId="0">
      <text>
        <t>Total hours: 01:27:27
Excess: 01:27:27
- After 18:00: 01:27:27</t>
      </text>
    </comment>
    <comment ref="E6" authorId="0" shapeId="0">
      <text>
        <t>Total hours: 01:44:34
Excess: 01:44:34
- After 18:00: 01:44:34</t>
      </text>
    </comment>
    <comment ref="F6" authorId="0" shapeId="0">
      <text>
        <t>Total hours: 01:03:23
Excess: 01:03:23
- After 18:00: 01:03:23</t>
      </text>
    </comment>
    <comment ref="K6" authorId="0" shapeId="0">
      <text>
        <t>Total hours: 01:32:35
Excess: 01:32:35
- After 18:00: 01:32:35</t>
      </text>
    </comment>
    <comment ref="P6" authorId="0" shapeId="0">
      <text>
        <t>Total hours: 01:05:38
Excess: 01:05:38
- After 18:00: 01:05:38</t>
      </text>
    </comment>
    <comment ref="Q6" authorId="0" shapeId="0">
      <text>
        <t>Total hours: 01:20:47
Excess: 01:20:47
- After 18:00: 01:20:47</t>
      </text>
    </comment>
    <comment ref="S6" authorId="0" shapeId="0">
      <text>
        <t>Total hours: 00:58:38
Excess: 00:58:38
- After 18:00: 00:58:38</t>
      </text>
    </comment>
    <comment ref="X6" authorId="0" shapeId="0">
      <text>
        <t>Total hours: 01:38:06
Excess: 01:38:06
- After 18:00: 01:38:06</t>
      </text>
    </comment>
    <comment ref="Y6" authorId="0" shapeId="0">
      <text>
        <t>Total hours: 01:49:05
Excess: 01:49:05
- After 18:00: 01:49:05</t>
      </text>
    </comment>
    <comment ref="Z6" authorId="0" shapeId="0">
      <text>
        <t>Total hours: 01:26:14
Excess: 01:26:14
- After 18:00: 01:26:14</t>
      </text>
    </comment>
    <comment ref="AE6" authorId="0" shapeId="0">
      <text>
        <t>Total hours: 01:27:27
Excess: 01:27:27
- After 18:00: 01:27:27</t>
      </text>
    </comment>
    <comment ref="AG6" authorId="0" shapeId="0">
      <text>
        <t>Total hours: 01:05:48
Excess: 01:05:48
- After 18:00: 01:05:48</t>
      </text>
    </comment>
    <comment ref="H8" authorId="0" shapeId="0">
      <text>
        <t>Total hours: 02:39:39
Excess: 02:39:39
- Weekend: 02:39:39</t>
      </text>
    </comment>
    <comment ref="N8" authorId="0" shapeId="0">
      <text>
        <t>Total hours: 01:56:59
Excess: 01:56:59
- Weekend: 01:56:59</t>
      </text>
    </comment>
    <comment ref="O8" authorId="0" shapeId="0">
      <text>
        <t>Total hours: 01:20:19
Excess: 01:20:19
- Weekend: 01:20:19</t>
      </text>
    </comment>
    <comment ref="U8" authorId="0" shapeId="0">
      <text>
        <t>Total hours: 02:06:58
Excess: 02:06:58
- Weekend: 02:06:58</t>
      </text>
    </comment>
    <comment ref="AB8" authorId="0" shapeId="0">
      <text>
        <t>Total hours: 01:43:57
Excess: 01:43:57
- Weekend: 01:43:57</t>
      </text>
    </comment>
    <comment ref="AC8" authorId="0" shapeId="0">
      <text>
        <t>Total hours: 01:22:27
Excess: 01:22:27
- Weekend: 01:22:27</t>
      </text>
    </comment>
    <comment ref="E9" authorId="0" shapeId="0">
      <text>
        <t>Total hours: 01:01:32
Excess: 00:58:34
- Early morning (06:00-07:40): 00:58:34</t>
      </text>
    </comment>
    <comment ref="F9" authorId="0" shapeId="0">
      <text>
        <t>Total hours: 00:33:42
Excess: 00:33:42
- Early morning (06:00-07:40): 00:33:42</t>
      </text>
    </comment>
    <comment ref="I9" authorId="0" shapeId="0">
      <text>
        <t>Total hours: 00:36:58
Excess: 00:36:58
- Early morning (06:00-07:40): 00:36:58</t>
      </text>
    </comment>
    <comment ref="K9" authorId="0" shapeId="0">
      <text>
        <t>Total hours: 00:56:44
Excess: 00:53:33
- Early morning (06:00-07:40): 00:53:33</t>
      </text>
    </comment>
    <comment ref="L9" authorId="0" shapeId="0">
      <text>
        <t>Total hours: 00:57:24
Excess: 00:57:24
- Early morning (06:00-07:40): 00:57:24</t>
      </text>
    </comment>
    <comment ref="M9" authorId="0" shapeId="0">
      <text>
        <t>Total hours: 00:48:29
Excess: 00:48:29
- Early morning (06:00-07:40): 00:48:29</t>
      </text>
    </comment>
    <comment ref="Q9" authorId="0" shapeId="0">
      <text>
        <t>Total hours: 00:50:40
Excess: 00:50:40
- Early morning (06:00-07:40): 00:50:40</t>
      </text>
    </comment>
    <comment ref="R9" authorId="0" shapeId="0">
      <text>
        <t>Total hours: 01:23:39
Excess: 01:23:39
- Early morning (06:00-07:40): 01:23:39</t>
      </text>
    </comment>
    <comment ref="S9" authorId="0" shapeId="0">
      <text>
        <t>Total hours: 01:16:08
Excess: 01:15:36
- Early morning (06:00-07:40): 01:15:36</t>
      </text>
    </comment>
    <comment ref="T9" authorId="0" shapeId="0">
      <text>
        <t>Total hours: 00:56:55
Excess: 00:53:54
- Early morning (06:00-07:40): 00:53:54</t>
      </text>
    </comment>
    <comment ref="X9" authorId="0" shapeId="0">
      <text>
        <t>Total hours: 00:50:52
Excess: 00:50:52
- Early morning (06:00-07:40): 00:50:52</t>
      </text>
    </comment>
    <comment ref="Z9" authorId="0" shapeId="0">
      <text>
        <t>Total hours: 01:28:43
Excess: 01:28:16
- Early morning (06:00-07:40): 01:28:16</t>
      </text>
    </comment>
    <comment ref="AE9" authorId="0" shapeId="0">
      <text>
        <t>Total hours: 00:43:47
Excess: 00:43:47
- Early morning (06:00-07:40): 00:43:47</t>
      </text>
    </comment>
    <comment ref="AF9" authorId="0" shapeId="0">
      <text>
        <t>Total hours: 01:26:15
Excess: 01:21:36
- Early morning (06:00-07:40): 01:21:36</t>
      </text>
    </comment>
    <comment ref="AG9" authorId="0" shapeId="0">
      <text>
        <t>Total hours: 01:06:54
Excess: 01:04:18
- Early morning (06:00-07:40): 01:04:18</t>
      </text>
    </comment>
    <comment ref="AH9" authorId="0" shapeId="0">
      <text>
        <t>Total hours: 01:05:38
Excess: 01:05:38
- Early morning (06:00-07:40): 01:05:38</t>
      </text>
    </comment>
    <comment ref="J10" authorId="0" shapeId="0">
      <text>
        <t>Total hours: 08:37:22
Excess: 08:37:22
- Over the 8h/day cap: 00:37:22
- Worked-hours excess: 08:00:00</t>
      </text>
    </comment>
    <comment ref="Q10" authorId="0" shapeId="0">
      <text>
        <t>Total hours: 02:40:40
Excess: 02:40:40
- Worked-hours excess: 02:40:40</t>
      </text>
    </comment>
    <comment ref="W10" authorId="0" shapeId="0">
      <text>
        <t>Total hours: 05:31:29
Excess: 05:31:29
- Worked-hours excess: 05:31:29</t>
      </text>
    </comment>
    <comment ref="X10" authorId="0" shapeId="0">
      <text>
        <t>Total hours: 01:13:45
Excess: 01:13:45
- Worked-hours excess: 01:13:45</t>
      </text>
    </comment>
    <comment ref="AE10" authorId="0" shapeId="0">
      <text>
        <t>Total hours: 02:44:00
Excess: 02:44:00
- Worked-hours excess: 02:44:00</t>
      </text>
    </comment>
    <comment ref="J11" authorId="0" shapeId="0">
      <text>
        <t>Total hours: 01:15:15
Excess: 01:15:15
- Early morning (06:00-07:40): 01:15:15</t>
      </text>
    </comment>
    <comment ref="P11" authorId="0" shapeId="0">
      <text>
        <t>Total hours: 00:30:50
Excess: 00:30:50
- Early morning (06:00-07:40): 00:30:50</t>
      </text>
    </comment>
    <comment ref="Q11" authorId="0" shapeId="0">
      <text>
        <t>Total hours: 01:10:20
Excess: 01:10:20
- Early morning (06:00-07:40): 01:03:43
- Worked-hours excess: 00:06:37</t>
      </text>
    </comment>
    <comment ref="T11" authorId="0" shapeId="0">
      <text>
        <t>Total hours: 00:31:30
Excess: 00:31:30
- Early morning (06:00-07:40): 00:31:30</t>
      </text>
    </comment>
    <comment ref="W11" authorId="0" shapeId="0">
      <text>
        <t>Total hours: 01:24:34
Excess: 01:24:34
- Early morning (06:00-07:40): 00:56:56
- Worked-hours excess: 00:27:38</t>
      </text>
    </comment>
    <comment ref="X11" authorId="0" shapeId="0">
      <text>
        <t>Total hours: 00:32:43
Excess: 00:32:43
- Early morning (06:00-07:40): 00:32:43</t>
      </text>
    </comment>
    <comment ref="Y11" authorId="0" shapeId="0">
      <text>
        <t>Total hours: 00:35:50
Excess: 00:35:50
- Early morning (06:00-07:40): 00:35:50</t>
      </text>
    </comment>
    <comment ref="Z11" authorId="0" shapeId="0">
      <text>
        <t>Total hours: 01:26:58
Excess: 01:17:18
- Early morning (06:00-07:40): 01:17:18</t>
      </text>
    </comment>
    <comment ref="AA11" authorId="0" shapeId="0">
      <text>
        <t>Total hours: 01:23:07
Excess: 01:01:18
- Early morning (06:00-07:40): 01:01:18</t>
      </text>
    </comment>
    <comment ref="AE11" authorId="0" shapeId="0">
      <text>
        <t>Total hours: 00:43:02
Excess: 00:43:02
- Early morning (06:00-07:40): 00:43:02</t>
      </text>
    </comment>
    <comment ref="AH11" authorId="0" shapeId="0">
      <text>
        <t>Total hours: 01:02:40
Excess: 01:02:40
- Early morning (06:00-07:40): 01:02:40</t>
      </text>
    </comment>
    <comment ref="E12" authorId="0" shapeId="0">
      <text>
        <t>Total hours: 01:29:40
Excess: 01:29:40
- After 18:00: 01:29:40</t>
      </text>
    </comment>
    <comment ref="F12" authorId="0" shapeId="0">
      <text>
        <t>Total hours: 01:15:01
Excess: 01:15:01
- After 18:00: 01:15:01</t>
      </text>
    </comment>
    <comment ref="G12" authorId="0" shapeId="0">
      <text>
        <t>Total hours: 01:33:10
Excess: 01:33:10
- Weekend: 01:33:10</t>
      </text>
    </comment>
    <comment ref="I12" authorId="0" shapeId="0">
      <text>
        <t>Total hours: 01:46:00
Excess: 01:46:00
- After 18:00: 01:46:00</t>
      </text>
    </comment>
    <comment ref="J12" authorId="0" shapeId="0">
      <text>
        <t>Total hours: 01:14:41
Excess: 01:14:41
- After 18:00: 01:14:41</t>
      </text>
    </comment>
    <comment ref="K12" authorId="0" shapeId="0">
      <text>
        <t>Total hours: 01:23:18
Excess: 01:23:18
- After 18:00: 01:23:18</t>
      </text>
    </comment>
    <comment ref="M12" authorId="0" shapeId="0">
      <text>
        <t>Total hours: 01:38:56
Excess: 01:38:56
- After 18:00: 01:38:56</t>
      </text>
    </comment>
    <comment ref="Q12" authorId="0" shapeId="0">
      <text>
        <t>Total hours: 01:43:46
Excess: 01:43:46
- After 18:00: 01:43:46</t>
      </text>
    </comment>
    <comment ref="R12" authorId="0" shapeId="0">
      <text>
        <t>Total hours: 01:07:19
Excess: 01:07:19
- After 18:00: 01:07:19</t>
      </text>
    </comment>
    <comment ref="T12" authorId="0" shapeId="0">
      <text>
        <t>Total hours: 01:05:33
Excess: 01:05:33
- After 18:00: 01:05:33</t>
      </text>
    </comment>
    <comment ref="W12" authorId="0" shapeId="0">
      <text>
        <t>Total hours: 01:11:24
Excess: 01:11:24
- After 18:00: 01:11:24</t>
      </text>
    </comment>
    <comment ref="X12" authorId="0" shapeId="0">
      <text>
        <t>Total hours: 01:12:30
Excess: 01:12:30
- After 18:00: 01:12:30</t>
      </text>
    </comment>
    <comment ref="Y12" authorId="0" shapeId="0">
      <text>
        <t>Total hours: 01:01:45
Excess: 01:01:45
- After 18:00: 01:01:45</t>
      </text>
    </comment>
    <comment ref="AA12" authorId="0" shapeId="0">
      <text>
        <t>Total hours: 01:37:43
Excess: 01:37:43
- After 18:00: 01:37:43</t>
      </text>
    </comment>
    <comment ref="AC12" authorId="0" shapeId="0">
      <text>
        <t>Total hours: 01:17:07
Excess: 01:17:07
- Weekend: 01:17:07</t>
      </text>
    </comment>
    <comment ref="AD12" authorId="0" shapeId="0">
      <text>
        <t>Total hours: 01:22:04
Excess: 01:22:04
- After 18:00: 01:22:04</t>
      </text>
    </comment>
    <comment ref="AE12" authorId="0" shapeId="0">
      <text>
        <t>Total hours: 01:11:49
Excess: 01:11:49
- After 18:00: 01:11:49</t>
      </text>
    </comment>
    <comment ref="AF12" authorId="0" shapeId="0">
      <text>
        <t>Total hours: 00:56:41
Excess: 00:56:41
- After 18:00: 00:56:41</t>
      </text>
    </comment>
    <comment ref="AG12" authorId="0" shapeId="0">
      <text>
        <t>Total hours: 01:56:28
Excess: 01:56:28
- After 18:00: 01:56:28</t>
      </text>
    </comment>
    <comment ref="AH12" authorId="0" shapeId="0">
      <text>
        <t>Total hours: 01:07:54
Excess: 01:07:54
- After 18:00: 01:07:54</t>
      </text>
    </comment>
    <comment ref="I13" authorId="0" shapeId="0">
      <text>
        <t>Total hours: 00:59:26
Excess: 00:59:26
- Worked-hours excess: 00:59:26</t>
      </text>
    </comment>
    <comment ref="J13" authorId="0" shapeId="0">
      <text>
        <t>Total hours: 00:55:49
Excess: 00:55:49
- Worked-hours excess: 00:55:49</t>
      </text>
    </comment>
    <comment ref="W13" authorId="0" shapeId="0">
      <text>
        <t>Total hours: 02:36:59
Excess: 02:36:59
- Worked-hours excess: 02:36:59</t>
      </text>
    </comment>
    <comment ref="AD13" authorId="0" shapeId="0">
      <text>
        <t>Total hours: 02:32:38
Excess: 02:32:38
- Worked-hours excess: 02:32:38</t>
      </text>
    </comment>
    <comment ref="AE13" authorId="0" shapeId="0">
      <text>
        <t>Total hours: 00:50:43
Excess: 00:50:43
- Worked-hours excess: 00:50:43</t>
      </text>
    </comment>
    <comment ref="H14" authorId="0" shapeId="0">
      <text>
        <t>Total hours: 02:39:39
Excess: 02:39:39
- Weekend: 02:39:39</t>
      </text>
    </comment>
    <comment ref="N14" authorId="0" shapeId="0">
      <text>
        <t>Total hours: 01:00:27
Excess: 01:00:27
- Weekend: 01:00:27</t>
      </text>
    </comment>
    <comment ref="O14" authorId="0" shapeId="0">
      <text>
        <t>Total hours: 01:25:39
Excess: 01:25:39
- Weekend: 01:25:39</t>
      </text>
    </comment>
    <comment ref="U14" authorId="0" shapeId="0">
      <text>
        <t>Total hours: 00:55:46
Excess: 00:55:46
- Weekend: 00:55:46</t>
      </text>
    </comment>
    <comment ref="V14" authorId="0" shapeId="0">
      <text>
        <t>Total hours: 01:48:55
Excess: 01:48:55
- Weekend: 01:48:55</t>
      </text>
    </comment>
    <comment ref="AB14" authorId="0" shapeId="0">
      <text>
        <t>Total hours: 02:32:58
Excess: 02:32:58
- Weekend: 02:32:58</t>
      </text>
    </comment>
    <comment ref="AC14" authorId="0" shapeId="0">
      <text>
        <t>Total hours: 02:43:27
Excess: 02:43:27
- Weekend: 02:43:27</t>
      </text>
    </comment>
    <comment ref="D15" authorId="0" shapeId="0">
      <text>
        <t>Total hours: 01:37:19
Excess: 01:37:19
- After 18:00: 01:37:19</t>
      </text>
    </comment>
    <comment ref="E15" authorId="0" shapeId="0">
      <text>
        <t>Total hours: 00:59:23
Excess: 00:59:23
- After 18:00: 00:59:23</t>
      </text>
    </comment>
    <comment ref="F15" authorId="0" shapeId="0">
      <text>
        <t>Total hours: 01:31:41
Excess: 01:31:41
- After 18:00: 01:31:41</t>
      </text>
    </comment>
    <comment ref="J15" authorId="0" shapeId="0">
      <text>
        <t>Total hours: 01:42:46
Excess: 01:42:46
- After 18:00: 01:42:46</t>
      </text>
    </comment>
    <comment ref="K15" authorId="0" shapeId="0">
      <text>
        <t>Total hours: 01:07:15
Excess: 01:07:15
- After 18:00: 01:07:15</t>
      </text>
    </comment>
    <comment ref="L15" authorId="0" shapeId="0">
      <text>
        <t>Total hours: 01:56:04
Excess: 01:56:04
- After 18:00: 01:56:04</t>
      </text>
    </comment>
    <comment ref="M15" authorId="0" shapeId="0">
      <text>
        <t>Total hours: 00:59:30
Excess: 00:59:30
- After 18:00: 00:59:30</t>
      </text>
    </comment>
    <comment ref="P15" authorId="0" shapeId="0">
      <text>
        <t>Total hours: 01:59:43
Excess: 01:59:43
- After 18:00: 01:59:43</t>
      </text>
    </comment>
    <comment ref="Q15" authorId="0" shapeId="0">
      <text>
        <t>Total hours: 00:49:40
Excess: 00:49:40
- After 18:00: 00:49:40</t>
      </text>
    </comment>
    <comment ref="R15" authorId="0" shapeId="0">
      <text>
        <t>Total hours: 01:03:29
Excess: 01:03:29
- After 18:00: 01:03:29</t>
      </text>
    </comment>
    <comment ref="S15" authorId="0" shapeId="0">
      <text>
        <t>Total hours: 01:31:01
Excess: 01:31:01
- After 18:00: 01:31:01</t>
      </text>
    </comment>
    <comment ref="T15" authorId="0" shapeId="0">
      <text>
        <t>Total hours: 00:55:44
Excess: 00:55:44
- After 18:00: 00:55:44</t>
      </text>
    </comment>
    <comment ref="X15" authorId="0" shapeId="0">
      <text>
        <t>Total hours: 01:29:04
Excess: 01:29:04
- After 18:00: 01:29:04</t>
      </text>
    </comment>
    <comment ref="Y15" authorId="0" shapeId="0">
      <text>
        <t>Total hours: 01:15:49
Excess: 01:15:49
- After 18:00: 01:15:49</t>
      </text>
    </comment>
    <comment ref="AA15" authorId="0" shapeId="0">
      <text>
        <t>Total hours: 01:36:59
Excess: 01:36:59
- After 18:00: 01:36:59</t>
      </text>
    </comment>
    <comment ref="AC15" authorId="0" shapeId="0">
      <text>
        <t>Total hours: 01:59:03
Excess: 01:59:03
- Weekend: 01:59:03</t>
      </text>
    </comment>
    <comment ref="AE15" authorId="0" shapeId="0">
      <text>
        <t>Total hours: 01:24:00
Excess: 01:24:00
- After 18:00: 01:24:00</t>
      </text>
    </comment>
    <comment ref="AF15" authorId="0" shapeId="0">
      <text>
        <t>Total hours: 01:45:53
Excess: 01:45:53
- After 18:00: 01:45:53</t>
      </text>
    </comment>
    <comment ref="AG15" authorId="0" shapeId="0">
      <text>
        <t>Total hours: 00:58:04
Excess: 00:58:04
- After 18:00: 00:58:04</t>
      </text>
    </comment>
    <comment ref="AH15" authorId="0" shapeId="0">
      <text>
        <t>Total hours: 01:41:14
Excess: 01:41:14
- After 18:00: 01:41:14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7" customWidth="1" min="2" max="2"/>
    <col width="35" customWidth="1" min="3" max="3"/>
    <col width="13" customWidth="1" min="4" max="4"/>
    <col width="13" customWidth="1" min="5" max="5"/>
    <col width="14" customWidth="1" min="6" max="6"/>
    <col width="14" customWidth="1" min="7" max="7"/>
    <col width="12" customWidth="1" min="8" max="8"/>
    <col width="22" customWidth="1" min="9" max="9"/>
  </cols>
  <sheetData>
    <row r="1" ht="28" customHeight="1">
      <c r="A1" s="1" t="inlineStr">
        <is>
          <t>General Summary - Azienda Demo S.r.l.</t>
        </is>
      </c>
    </row>
    <row r="2" ht="38" customHeight="1"/>
    <row r="3" ht="38" customHeight="1">
      <c r="A3" s="2" t="inlineStr">
        <is>
          <t>Learner</t>
        </is>
      </c>
      <c r="B3" s="2" t="inlineStr">
        <is>
          <t>Tax ID</t>
        </is>
      </c>
      <c r="C3" s="2" t="inlineStr">
        <is>
          <t>Training Programme</t>
        </is>
      </c>
      <c r="D3" s="2" t="inlineStr">
        <is>
          <t>June
2026</t>
        </is>
      </c>
      <c r="E3" s="2" t="inlineStr">
        <is>
          <t>July
2026</t>
        </is>
      </c>
      <c r="F3" s="2" t="inlineStr">
        <is>
          <t>Total
Earned Hours</t>
        </is>
      </c>
      <c r="G3" s="2" t="inlineStr">
        <is>
          <t>Min(150 h)</t>
        </is>
      </c>
      <c r="H3" s="2" t="inlineStr">
        <is>
          <t>Removed
Hours</t>
        </is>
      </c>
      <c r="I3" s="2" t="inlineStr">
        <is>
          <t>Hours
(text)</t>
        </is>
      </c>
    </row>
    <row r="4" ht="19" customHeight="1">
      <c r="A4" s="3" t="inlineStr">
        <is>
          <t>BIANCHI LUCA</t>
        </is>
      </c>
      <c r="B4" s="4" t="inlineStr">
        <is>
          <t>MVULOQ57D31H065K</t>
        </is>
      </c>
      <c r="C4" s="3" t="inlineStr">
        <is>
          <t>Percorso A - Fondamenti</t>
        </is>
      </c>
      <c r="D4" s="5">
        <f>IFERROR(INDEX('June 2026'!AH4:AH16,MATCH("MVULOQ57D31H065K",'June 2026'!B4:B16,0)),0)</f>
        <v/>
      </c>
      <c r="E4" s="5">
        <f>IFERROR(INDEX('July 2026'!AI4:AI16,MATCH("MVULOQ57D31H065K",'July 2026'!B4:B16,0)),0)</f>
        <v/>
      </c>
      <c r="F4" s="6">
        <f>SUM(D4:E4)</f>
        <v/>
      </c>
      <c r="G4" s="6">
        <f>MIN(F4,150/24)</f>
        <v/>
      </c>
      <c r="H4" s="7">
        <f>IFERROR(INDEX('June 2026'!AJ4:AJ16,MATCH("MVULOQ57D31H065K",'June 2026'!B4:B16,0)),0)+IFERROR(INDEX('July 2026'!AK4:AK16,MATCH("MVULOQ57D31H065K",'July 2026'!B4:B16,0)),0)</f>
        <v/>
      </c>
      <c r="I4" s="8">
        <f>TEXT(INT(G4*24),"0")&amp;" H "&amp;TEXT(INT(MOD(G4*24,1)*60),"00")&amp;" M "&amp;TEXT(INT(MOD(G4*24*60,1)*60),"00")&amp;" S"</f>
        <v/>
      </c>
    </row>
    <row r="5" ht="19" customHeight="1">
      <c r="A5" s="3" t="inlineStr">
        <is>
          <t>CONTI MARCO</t>
        </is>
      </c>
      <c r="B5" s="4" t="inlineStr">
        <is>
          <t>YRBOCK32K14Y413Q</t>
        </is>
      </c>
      <c r="C5" s="3" t="inlineStr">
        <is>
          <t>Percorso B - Specializzazione</t>
        </is>
      </c>
      <c r="D5" s="5">
        <f>IFERROR(INDEX('June 2026'!AH4:AH16,MATCH("YRBOCK32K14Y413Q",'June 2026'!B4:B16,0)),0)</f>
        <v/>
      </c>
      <c r="E5" s="5">
        <f>IFERROR(INDEX('July 2026'!AI4:AI16,MATCH("YRBOCK32K14Y413Q",'July 2026'!B4:B16,0)),0)</f>
        <v/>
      </c>
      <c r="F5" s="6">
        <f>SUM(D5:E5)</f>
        <v/>
      </c>
      <c r="G5" s="6">
        <f>MIN(F5,150/24)</f>
        <v/>
      </c>
      <c r="H5" s="7">
        <f>IFERROR(INDEX('June 2026'!AJ4:AJ16,MATCH("YRBOCK32K14Y413Q",'June 2026'!B4:B16,0)),0)+IFERROR(INDEX('July 2026'!AK4:AK16,MATCH("YRBOCK32K14Y413Q",'July 2026'!B4:B16,0)),0)</f>
        <v/>
      </c>
      <c r="I5" s="8">
        <f>TEXT(INT(G5*24),"0")&amp;" H "&amp;TEXT(INT(MOD(G5*24,1)*60),"00")&amp;" M "&amp;TEXT(INT(MOD(G5*24*60,1)*60),"00")&amp;" S"</f>
        <v/>
      </c>
    </row>
    <row r="6" ht="19" customHeight="1">
      <c r="A6" s="3" t="inlineStr">
        <is>
          <t>FERRARI GIULIA</t>
        </is>
      </c>
      <c r="B6" s="4" t="inlineStr">
        <is>
          <t>LGVHVD45Y71N997T</t>
        </is>
      </c>
      <c r="C6" s="3" t="inlineStr">
        <is>
          <t>Percorso A - Fondamenti</t>
        </is>
      </c>
      <c r="D6" s="5">
        <f>IFERROR(INDEX('June 2026'!AH4:AH16,MATCH("LGVHVD45Y71N997T",'June 2026'!B4:B16,0)),0)</f>
        <v/>
      </c>
      <c r="E6" s="5">
        <f>IFERROR(INDEX('July 2026'!AI4:AI16,MATCH("LGVHVD45Y71N997T",'July 2026'!B4:B16,0)),0)</f>
        <v/>
      </c>
      <c r="F6" s="6">
        <f>SUM(D6:E6)</f>
        <v/>
      </c>
      <c r="G6" s="6">
        <f>MIN(F6,150/24)</f>
        <v/>
      </c>
      <c r="H6" s="7">
        <f>IFERROR(INDEX('June 2026'!AJ4:AJ16,MATCH("LGVHVD45Y71N997T",'June 2026'!B4:B16,0)),0)+IFERROR(INDEX('July 2026'!AK4:AK16,MATCH("LGVHVD45Y71N997T",'July 2026'!B4:B16,0)),0)</f>
        <v/>
      </c>
      <c r="I6" s="8">
        <f>TEXT(INT(G6*24),"0")&amp;" H "&amp;TEXT(INT(MOD(G6*24,1)*60),"00")&amp;" M "&amp;TEXT(INT(MOD(G6*24*60,1)*60),"00")&amp;" S"</f>
        <v/>
      </c>
    </row>
    <row r="7" ht="19" customHeight="1">
      <c r="A7" s="3" t="inlineStr">
        <is>
          <t>FONTANA CHIARA</t>
        </is>
      </c>
      <c r="B7" s="4" t="inlineStr">
        <is>
          <t>ZTEIBU61L70D728Q</t>
        </is>
      </c>
      <c r="C7" s="3" t="inlineStr">
        <is>
          <t>Percorso A - Fondamenti</t>
        </is>
      </c>
      <c r="D7" s="5">
        <f>IFERROR(INDEX('June 2026'!AH4:AH16,MATCH("ZTEIBU61L70D728Q",'June 2026'!B4:B16,0)),0)</f>
        <v/>
      </c>
      <c r="E7" s="5">
        <f>IFERROR(INDEX('July 2026'!AI4:AI16,MATCH("ZTEIBU61L70D728Q",'July 2026'!B4:B16,0)),0)</f>
        <v/>
      </c>
      <c r="F7" s="6">
        <f>SUM(D7:E7)</f>
        <v/>
      </c>
      <c r="G7" s="6">
        <f>MIN(F7,150/24)</f>
        <v/>
      </c>
      <c r="H7" s="7">
        <f>IFERROR(INDEX('June 2026'!AJ4:AJ16,MATCH("ZTEIBU61L70D728Q",'June 2026'!B4:B16,0)),0)+IFERROR(INDEX('July 2026'!AK4:AK16,MATCH("ZTEIBU61L70D728Q",'July 2026'!B4:B16,0)),0)</f>
        <v/>
      </c>
      <c r="I7" s="8">
        <f>TEXT(INT(G7*24),"0")&amp;" H "&amp;TEXT(INT(MOD(G7*24,1)*60),"00")&amp;" M "&amp;TEXT(INT(MOD(G7*24*60,1)*60),"00")&amp;" S"</f>
        <v/>
      </c>
    </row>
    <row r="8" ht="19" customHeight="1">
      <c r="A8" s="3" t="inlineStr">
        <is>
          <t>GALLO SARA</t>
        </is>
      </c>
      <c r="B8" s="4" t="inlineStr">
        <is>
          <t>DGJHLF38A90R129I</t>
        </is>
      </c>
      <c r="C8" s="3" t="inlineStr">
        <is>
          <t>Percorso B - Specializzazione</t>
        </is>
      </c>
      <c r="D8" s="5">
        <f>IFERROR(INDEX('June 2026'!AH4:AH16,MATCH("DGJHLF38A90R129I",'June 2026'!B4:B16,0)),0)</f>
        <v/>
      </c>
      <c r="E8" s="5">
        <f>IFERROR(INDEX('July 2026'!AI4:AI16,MATCH("DGJHLF38A90R129I",'July 2026'!B4:B16,0)),0)</f>
        <v/>
      </c>
      <c r="F8" s="6">
        <f>SUM(D8:E8)</f>
        <v/>
      </c>
      <c r="G8" s="6">
        <f>MIN(F8,150/24)</f>
        <v/>
      </c>
      <c r="H8" s="7">
        <f>IFERROR(INDEX('June 2026'!AJ4:AJ16,MATCH("DGJHLF38A90R129I",'June 2026'!B4:B16,0)),0)+IFERROR(INDEX('July 2026'!AK4:AK16,MATCH("DGJHLF38A90R129I",'July 2026'!B4:B16,0)),0)</f>
        <v/>
      </c>
      <c r="I8" s="8">
        <f>TEXT(INT(G8*24),"0")&amp;" H "&amp;TEXT(INT(MOD(G8*24,1)*60),"00")&amp;" M "&amp;TEXT(INT(MOD(G8*24*60,1)*60),"00")&amp;" S"</f>
        <v/>
      </c>
    </row>
    <row r="9" ht="19" customHeight="1">
      <c r="A9" s="3" t="inlineStr">
        <is>
          <t>LONGO ALESSANDRO</t>
        </is>
      </c>
      <c r="B9" s="4" t="inlineStr">
        <is>
          <t>FNFBMZ63F95J897B</t>
        </is>
      </c>
      <c r="C9" s="3" t="inlineStr">
        <is>
          <t>Percorso A - Fondamenti</t>
        </is>
      </c>
      <c r="D9" s="5">
        <f>IFERROR(INDEX('June 2026'!AH4:AH16,MATCH("FNFBMZ63F95J897B",'June 2026'!B4:B16,0)),0)</f>
        <v/>
      </c>
      <c r="E9" s="5">
        <f>IFERROR(INDEX('July 2026'!AI4:AI16,MATCH("FNFBMZ63F95J897B",'July 2026'!B4:B16,0)),0)</f>
        <v/>
      </c>
      <c r="F9" s="6">
        <f>SUM(D9:E9)</f>
        <v/>
      </c>
      <c r="G9" s="6">
        <f>MIN(F9,150/24)</f>
        <v/>
      </c>
      <c r="H9" s="7">
        <f>IFERROR(INDEX('June 2026'!AJ4:AJ16,MATCH("FNFBMZ63F95J897B",'June 2026'!B4:B16,0)),0)+IFERROR(INDEX('July 2026'!AK4:AK16,MATCH("FNFBMZ63F95J897B",'July 2026'!B4:B16,0)),0)</f>
        <v/>
      </c>
      <c r="I9" s="8">
        <f>TEXT(INT(G9*24),"0")&amp;" H "&amp;TEXT(INT(MOD(G9*24,1)*60),"00")&amp;" M "&amp;TEXT(INT(MOD(G9*24*60,1)*60),"00")&amp;" S"</f>
        <v/>
      </c>
    </row>
    <row r="10" ht="19" customHeight="1">
      <c r="A10" s="3" t="inlineStr">
        <is>
          <t>MORETTI DAVIDE</t>
        </is>
      </c>
      <c r="B10" s="4" t="inlineStr">
        <is>
          <t>BMIGDO11V27U654T</t>
        </is>
      </c>
      <c r="C10" s="3" t="inlineStr">
        <is>
          <t>Percorso B - Specializzazione</t>
        </is>
      </c>
      <c r="D10" s="5">
        <f>IFERROR(INDEX('June 2026'!AH4:AH16,MATCH("BMIGDO11V27U654T",'June 2026'!B4:B16,0)),0)</f>
        <v/>
      </c>
      <c r="E10" s="5">
        <f>IFERROR(INDEX('July 2026'!AI4:AI16,MATCH("BMIGDO11V27U654T",'July 2026'!B4:B16,0)),0)</f>
        <v/>
      </c>
      <c r="F10" s="6">
        <f>SUM(D10:E10)</f>
        <v/>
      </c>
      <c r="G10" s="6">
        <f>MIN(F10,150/24)</f>
        <v/>
      </c>
      <c r="H10" s="7">
        <f>IFERROR(INDEX('June 2026'!AJ4:AJ16,MATCH("BMIGDO11V27U654T",'June 2026'!B4:B16,0)),0)+IFERROR(INDEX('July 2026'!AK4:AK16,MATCH("BMIGDO11V27U654T",'July 2026'!B4:B16,0)),0)</f>
        <v/>
      </c>
      <c r="I10" s="8">
        <f>TEXT(INT(G10*24),"0")&amp;" H "&amp;TEXT(INT(MOD(G10*24,1)*60),"00")&amp;" M "&amp;TEXT(INT(MOD(G10*24*60,1)*60),"00")&amp;" S"</f>
        <v/>
      </c>
    </row>
    <row r="11" ht="19" customHeight="1">
      <c r="A11" s="3" t="inlineStr">
        <is>
          <t>RICCI ELENA</t>
        </is>
      </c>
      <c r="B11" s="4" t="inlineStr">
        <is>
          <t>DYUWDO21W38A047K</t>
        </is>
      </c>
      <c r="C11" s="3" t="inlineStr">
        <is>
          <t>Percorso B - Specializzazione</t>
        </is>
      </c>
      <c r="D11" s="5">
        <f>IFERROR(INDEX('June 2026'!AH4:AH16,MATCH("DYUWDO21W38A047K",'June 2026'!B4:B16,0)),0)</f>
        <v/>
      </c>
      <c r="E11" s="5">
        <f>IFERROR(INDEX('July 2026'!AI4:AI16,MATCH("DYUWDO21W38A047K",'July 2026'!B4:B16,0)),0)</f>
        <v/>
      </c>
      <c r="F11" s="6">
        <f>SUM(D11:E11)</f>
        <v/>
      </c>
      <c r="G11" s="6">
        <f>MIN(F11,150/24)</f>
        <v/>
      </c>
      <c r="H11" s="7">
        <f>IFERROR(INDEX('June 2026'!AJ4:AJ16,MATCH("DYUWDO21W38A047K",'June 2026'!B4:B16,0)),0)+IFERROR(INDEX('July 2026'!AK4:AK16,MATCH("DYUWDO21W38A047K",'July 2026'!B4:B16,0)),0)</f>
        <v/>
      </c>
      <c r="I11" s="8">
        <f>TEXT(INT(G11*24),"0")&amp;" H "&amp;TEXT(INT(MOD(G11*24,1)*60),"00")&amp;" M "&amp;TEXT(INT(MOD(G11*24*60,1)*60),"00")&amp;" S"</f>
        <v/>
      </c>
    </row>
    <row r="12" ht="19" customHeight="1">
      <c r="A12" s="3" t="inlineStr">
        <is>
          <t>ROMANO PAOLO</t>
        </is>
      </c>
      <c r="B12" s="4" t="inlineStr">
        <is>
          <t>QPUHIO09W36H278K</t>
        </is>
      </c>
      <c r="C12" s="3" t="inlineStr">
        <is>
          <t>Percorso A - Fondamenti</t>
        </is>
      </c>
      <c r="D12" s="5">
        <f>IFERROR(INDEX('June 2026'!AH4:AH16,MATCH("QPUHIO09W36H278K",'June 2026'!B4:B16,0)),0)</f>
        <v/>
      </c>
      <c r="E12" s="5">
        <f>IFERROR(INDEX('July 2026'!AI4:AI16,MATCH("QPUHIO09W36H278K",'July 2026'!B4:B16,0)),0)</f>
        <v/>
      </c>
      <c r="F12" s="6">
        <f>SUM(D12:E12)</f>
        <v/>
      </c>
      <c r="G12" s="6">
        <f>MIN(F12,150/24)</f>
        <v/>
      </c>
      <c r="H12" s="7">
        <f>IFERROR(INDEX('June 2026'!AJ4:AJ16,MATCH("QPUHIO09W36H278K",'June 2026'!B4:B16,0)),0)+IFERROR(INDEX('July 2026'!AK4:AK16,MATCH("QPUHIO09W36H278K",'July 2026'!B4:B16,0)),0)</f>
        <v/>
      </c>
      <c r="I12" s="8">
        <f>TEXT(INT(G12*24),"0")&amp;" H "&amp;TEXT(INT(MOD(G12*24,1)*60),"00")&amp;" M "&amp;TEXT(INT(MOD(G12*24*60,1)*60),"00")&amp;" S"</f>
        <v/>
      </c>
    </row>
    <row r="13" ht="19" customHeight="1">
      <c r="A13" s="3" t="inlineStr">
        <is>
          <t>ROSSI MARIA</t>
        </is>
      </c>
      <c r="B13" s="4" t="inlineStr">
        <is>
          <t>UDAXIH28E94D692X</t>
        </is>
      </c>
      <c r="C13" s="3" t="inlineStr">
        <is>
          <t>Percorso A - Fondamenti</t>
        </is>
      </c>
      <c r="D13" s="5">
        <f>IFERROR(INDEX('June 2026'!AH4:AH16,MATCH("UDAXIH28E94D692X",'June 2026'!B4:B16,0)),0)</f>
        <v/>
      </c>
      <c r="E13" s="5">
        <f>IFERROR(INDEX('July 2026'!AI4:AI16,MATCH("UDAXIH28E94D692X",'July 2026'!B4:B16,0)),0)</f>
        <v/>
      </c>
      <c r="F13" s="6">
        <f>SUM(D13:E13)</f>
        <v/>
      </c>
      <c r="G13" s="6">
        <f>MIN(F13,150/24)</f>
        <v/>
      </c>
      <c r="H13" s="7">
        <f>IFERROR(INDEX('June 2026'!AJ4:AJ16,MATCH("UDAXIH28E94D692X",'June 2026'!B4:B16,0)),0)+IFERROR(INDEX('July 2026'!AK4:AK16,MATCH("UDAXIH28E94D692X",'July 2026'!B4:B16,0)),0)</f>
        <v/>
      </c>
      <c r="I13" s="8">
        <f>TEXT(INT(G13*24),"0")&amp;" H "&amp;TEXT(INT(MOD(G13*24,1)*60),"00")&amp;" M "&amp;TEXT(INT(MOD(G13*24*60,1)*60),"00")&amp;" S"</f>
        <v/>
      </c>
    </row>
    <row r="14" ht="19" customHeight="1">
      <c r="A14" s="3" t="inlineStr">
        <is>
          <t>SERRA MARTINA</t>
        </is>
      </c>
      <c r="B14" s="4" t="inlineStr">
        <is>
          <t>SKQQRP90S38P835A</t>
        </is>
      </c>
      <c r="C14" s="3" t="inlineStr">
        <is>
          <t>Percorso A - Fondamenti</t>
        </is>
      </c>
      <c r="D14" s="5">
        <f>IFERROR(INDEX('June 2026'!AH4:AH16,MATCH("SKQQRP90S38P835A",'June 2026'!B4:B16,0)),0)</f>
        <v/>
      </c>
      <c r="E14" s="5">
        <f>IFERROR(INDEX('July 2026'!AI4:AI16,MATCH("SKQQRP90S38P835A",'July 2026'!B4:B16,0)),0)</f>
        <v/>
      </c>
      <c r="F14" s="6">
        <f>SUM(D14:E14)</f>
        <v/>
      </c>
      <c r="G14" s="6">
        <f>MIN(F14,150/24)</f>
        <v/>
      </c>
      <c r="H14" s="7">
        <f>IFERROR(INDEX('June 2026'!AJ4:AJ16,MATCH("SKQQRP90S38P835A",'June 2026'!B4:B16,0)),0)+IFERROR(INDEX('July 2026'!AK4:AK16,MATCH("SKQQRP90S38P835A",'July 2026'!B4:B16,0)),0)</f>
        <v/>
      </c>
      <c r="I14" s="8">
        <f>TEXT(INT(G14*24),"0")&amp;" H "&amp;TEXT(INT(MOD(G14*24,1)*60),"00")&amp;" M "&amp;TEXT(INT(MOD(G14*24*60,1)*60),"00")&amp;" S"</f>
        <v/>
      </c>
    </row>
    <row r="15" ht="19" customHeight="1">
      <c r="A15" s="3" t="inlineStr">
        <is>
          <t>VILLA SIMONE</t>
        </is>
      </c>
      <c r="B15" s="4" t="inlineStr">
        <is>
          <t>WPGDEC57F91O089Z</t>
        </is>
      </c>
      <c r="C15" s="3" t="inlineStr">
        <is>
          <t>Percorso A - Fondamenti</t>
        </is>
      </c>
      <c r="D15" s="5">
        <f>IFERROR(INDEX('June 2026'!AH4:AH16,MATCH("WPGDEC57F91O089Z",'June 2026'!B4:B16,0)),0)</f>
        <v/>
      </c>
      <c r="E15" s="5">
        <f>IFERROR(INDEX('July 2026'!AI4:AI16,MATCH("WPGDEC57F91O089Z",'July 2026'!B4:B16,0)),0)</f>
        <v/>
      </c>
      <c r="F15" s="6">
        <f>SUM(D15:E15)</f>
        <v/>
      </c>
      <c r="G15" s="6">
        <f>MIN(F15,150/24)</f>
        <v/>
      </c>
      <c r="H15" s="7">
        <f>IFERROR(INDEX('June 2026'!AJ4:AJ16,MATCH("WPGDEC57F91O089Z",'June 2026'!B4:B16,0)),0)+IFERROR(INDEX('July 2026'!AK4:AK16,MATCH("WPGDEC57F91O089Z",'July 2026'!B4:B16,0)),0)</f>
        <v/>
      </c>
      <c r="I15" s="8">
        <f>TEXT(INT(G15*24),"0")&amp;" H "&amp;TEXT(INT(MOD(G15*24,1)*60),"00")&amp;" M "&amp;TEXT(INT(MOD(G15*24*60,1)*60),"00")&amp;" S"</f>
        <v/>
      </c>
    </row>
    <row r="16" ht="20" customHeight="1">
      <c r="A16" s="9" t="inlineStr">
        <is>
          <t>TOTAL</t>
        </is>
      </c>
      <c r="B16" s="10" t="n"/>
      <c r="C16" s="10" t="n"/>
      <c r="D16" s="11">
        <f>SUM(D4:D15)</f>
        <v/>
      </c>
      <c r="E16" s="11">
        <f>SUM(E4:E15)</f>
        <v/>
      </c>
      <c r="F16" s="11">
        <f>SUM(F4:F15)</f>
        <v/>
      </c>
      <c r="G16" s="11">
        <f>SUM(G4:G15)</f>
        <v/>
      </c>
      <c r="H16" s="11">
        <f>SUM(H4:H15)</f>
        <v/>
      </c>
      <c r="I16" s="10" t="n"/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 ht="26" customHeight="1">
      <c r="A1" s="12" t="inlineStr">
        <is>
          <t>TRAINING HOURS MONITORING - June 2026 - Azienda Demo S.r.l.</t>
        </is>
      </c>
    </row>
    <row r="2" ht="38" customHeight="1"/>
    <row r="3" ht="32" customHeight="1">
      <c r="A3" s="2" t="inlineStr">
        <is>
          <t>Learner</t>
        </is>
      </c>
      <c r="B3" s="2" t="inlineStr">
        <is>
          <t>Tax ID</t>
        </is>
      </c>
      <c r="C3" s="2" t="inlineStr">
        <is>
          <t>Training Programme</t>
        </is>
      </c>
      <c r="D3" s="13" t="inlineStr">
        <is>
          <t>1
M</t>
        </is>
      </c>
      <c r="E3" s="13" t="inlineStr">
        <is>
          <t>2
T</t>
        </is>
      </c>
      <c r="F3" s="13" t="inlineStr">
        <is>
          <t>3
W</t>
        </is>
      </c>
      <c r="G3" s="13" t="inlineStr">
        <is>
          <t>4
T</t>
        </is>
      </c>
      <c r="H3" s="13" t="inlineStr">
        <is>
          <t>5
F</t>
        </is>
      </c>
      <c r="I3" s="14" t="inlineStr">
        <is>
          <t>6
S</t>
        </is>
      </c>
      <c r="J3" s="14" t="inlineStr">
        <is>
          <t>7
S</t>
        </is>
      </c>
      <c r="K3" s="13" t="inlineStr">
        <is>
          <t>8
M</t>
        </is>
      </c>
      <c r="L3" s="13" t="inlineStr">
        <is>
          <t>9
T</t>
        </is>
      </c>
      <c r="M3" s="13" t="inlineStr">
        <is>
          <t>10
W</t>
        </is>
      </c>
      <c r="N3" s="13" t="inlineStr">
        <is>
          <t>11
T</t>
        </is>
      </c>
      <c r="O3" s="13" t="inlineStr">
        <is>
          <t>12
F</t>
        </is>
      </c>
      <c r="P3" s="14" t="inlineStr">
        <is>
          <t>13
S</t>
        </is>
      </c>
      <c r="Q3" s="14" t="inlineStr">
        <is>
          <t>14
S</t>
        </is>
      </c>
      <c r="R3" s="13" t="inlineStr">
        <is>
          <t>15
M</t>
        </is>
      </c>
      <c r="S3" s="13" t="inlineStr">
        <is>
          <t>16
T</t>
        </is>
      </c>
      <c r="T3" s="13" t="inlineStr">
        <is>
          <t>17
W</t>
        </is>
      </c>
      <c r="U3" s="13" t="inlineStr">
        <is>
          <t>18
T</t>
        </is>
      </c>
      <c r="V3" s="13" t="inlineStr">
        <is>
          <t>19
F</t>
        </is>
      </c>
      <c r="W3" s="14" t="inlineStr">
        <is>
          <t>20
S</t>
        </is>
      </c>
      <c r="X3" s="14" t="inlineStr">
        <is>
          <t>21
S</t>
        </is>
      </c>
      <c r="Y3" s="13" t="inlineStr">
        <is>
          <t>22
M</t>
        </is>
      </c>
      <c r="Z3" s="13" t="inlineStr">
        <is>
          <t>23
T</t>
        </is>
      </c>
      <c r="AA3" s="13" t="inlineStr">
        <is>
          <t>24
W</t>
        </is>
      </c>
      <c r="AB3" s="13" t="inlineStr">
        <is>
          <t>25
T</t>
        </is>
      </c>
      <c r="AC3" s="13" t="inlineStr">
        <is>
          <t>26
F</t>
        </is>
      </c>
      <c r="AD3" s="14" t="inlineStr">
        <is>
          <t>27
S</t>
        </is>
      </c>
      <c r="AE3" s="14" t="inlineStr">
        <is>
          <t>28
S</t>
        </is>
      </c>
      <c r="AF3" s="13" t="inlineStr">
        <is>
          <t>29
M</t>
        </is>
      </c>
      <c r="AG3" s="13" t="inlineStr">
        <is>
          <t>30
T</t>
        </is>
      </c>
      <c r="AH3" s="2" t="inlineStr">
        <is>
          <t>Total
Effective Hours</t>
        </is>
      </c>
      <c r="AI3" s="2" t="inlineStr">
        <is>
          <t>Total
Hours</t>
        </is>
      </c>
      <c r="AJ3" s="2" t="inlineStr">
        <is>
          <t>Total
Excess</t>
        </is>
      </c>
      <c r="AK3" s="2" t="inlineStr">
        <is>
          <t>Excess
Worked Hours</t>
        </is>
      </c>
      <c r="AL3" s="2" t="inlineStr">
        <is>
          <t>Weekend
Excess</t>
        </is>
      </c>
      <c r="AM3" s="2" t="inlineStr">
        <is>
          <t>Excess
After 18:00</t>
        </is>
      </c>
      <c r="AN3" s="2" t="inlineStr">
        <is>
          <t>Early-Morning
Excess</t>
        </is>
      </c>
    </row>
    <row r="4" ht="17" customHeight="1">
      <c r="A4" s="15" t="inlineStr">
        <is>
          <t>BIANCHI LUCA</t>
        </is>
      </c>
      <c r="B4" s="16" t="inlineStr">
        <is>
          <t>MVULOQ57D31H065K</t>
        </is>
      </c>
      <c r="C4" s="15" t="inlineStr">
        <is>
          <t>Percorso A - Fondamenti</t>
        </is>
      </c>
      <c r="D4" s="17" t="n">
        <v>0.09109953703703703</v>
      </c>
      <c r="E4" s="17" t="n">
        <v>0.1043865740740741</v>
      </c>
      <c r="F4" s="17" t="n">
        <v>0.07164351851851852</v>
      </c>
      <c r="G4" s="18" t="n"/>
      <c r="H4" s="18" t="n"/>
      <c r="I4" s="19" t="n"/>
      <c r="J4" s="19" t="n"/>
      <c r="K4" s="17" t="n">
        <v>0.03741898148148148</v>
      </c>
      <c r="L4" s="17" t="n">
        <v>0.1047569444444444</v>
      </c>
      <c r="M4" s="18" t="n"/>
      <c r="N4" s="18" t="n"/>
      <c r="O4" s="17" t="n">
        <v>0.05885416666666667</v>
      </c>
      <c r="P4" s="19" t="n"/>
      <c r="Q4" s="19" t="n"/>
      <c r="R4" s="17" t="n">
        <v>0.05354166666666666</v>
      </c>
      <c r="S4" s="18" t="n"/>
      <c r="T4" s="17" t="n">
        <v>0.1040625</v>
      </c>
      <c r="U4" s="17" t="n">
        <v>0.1023148148148148</v>
      </c>
      <c r="V4" s="18" t="n"/>
      <c r="W4" s="19" t="n"/>
      <c r="X4" s="19" t="n"/>
      <c r="Y4" s="17" t="n">
        <v>0.06425925925925925</v>
      </c>
      <c r="Z4" s="17" t="n">
        <v>0.06333333333333334</v>
      </c>
      <c r="AA4" s="17" t="n">
        <v>0.09309027777777779</v>
      </c>
      <c r="AB4" s="17" t="n">
        <v>0.1139236111111111</v>
      </c>
      <c r="AC4" s="18" t="n"/>
      <c r="AD4" s="20" t="n">
        <v>0</v>
      </c>
      <c r="AE4" s="20" t="n">
        <v>0</v>
      </c>
      <c r="AF4" s="17" t="n">
        <v>0.04974537037037038</v>
      </c>
      <c r="AG4" s="18" t="n"/>
      <c r="AH4" s="21">
        <f>SUM(D4:AG4)</f>
        <v/>
      </c>
      <c r="AI4" s="21" t="n">
        <v>1.289259259259259</v>
      </c>
      <c r="AJ4" s="21">
        <f>AI4-AH4</f>
        <v/>
      </c>
      <c r="AK4" s="16" t="n"/>
      <c r="AL4" s="21" t="n">
        <v>0.1768287037037037</v>
      </c>
      <c r="AM4" s="16" t="n"/>
      <c r="AN4" s="16" t="n"/>
    </row>
    <row r="5" ht="17" customHeight="1">
      <c r="A5" s="15" t="inlineStr">
        <is>
          <t>CONTI MARCO</t>
        </is>
      </c>
      <c r="B5" s="16" t="inlineStr">
        <is>
          <t>YRBOCK32K14Y413Q</t>
        </is>
      </c>
      <c r="C5" s="15" t="inlineStr">
        <is>
          <t>Percorso B - Specializzazione</t>
        </is>
      </c>
      <c r="D5" s="18" t="n"/>
      <c r="E5" s="18" t="n"/>
      <c r="F5" s="18" t="n"/>
      <c r="G5" s="18" t="n"/>
      <c r="H5" s="18" t="n"/>
      <c r="I5" s="19" t="n"/>
      <c r="J5" s="20" t="n">
        <v>0</v>
      </c>
      <c r="K5" s="18" t="n"/>
      <c r="L5" s="18" t="n"/>
      <c r="M5" s="17" t="n">
        <v>0.09910879629629631</v>
      </c>
      <c r="N5" s="18" t="n"/>
      <c r="O5" s="17" t="n">
        <v>0.04883101851851852</v>
      </c>
      <c r="P5" s="20" t="n">
        <v>0</v>
      </c>
      <c r="Q5" s="19" t="n"/>
      <c r="R5" s="18" t="n"/>
      <c r="S5" s="18" t="n"/>
      <c r="T5" s="18" t="n"/>
      <c r="U5" s="18" t="n"/>
      <c r="V5" s="18" t="n"/>
      <c r="W5" s="20" t="n">
        <v>0</v>
      </c>
      <c r="X5" s="19" t="n"/>
      <c r="Y5" s="18" t="n"/>
      <c r="Z5" s="18" t="n"/>
      <c r="AA5" s="18" t="n"/>
      <c r="AB5" s="18" t="n"/>
      <c r="AC5" s="18" t="n"/>
      <c r="AD5" s="19" t="n"/>
      <c r="AE5" s="20" t="n">
        <v>0</v>
      </c>
      <c r="AF5" s="18" t="n"/>
      <c r="AG5" s="18" t="n"/>
      <c r="AH5" s="21">
        <f>SUM(D5:AG5)</f>
        <v/>
      </c>
      <c r="AI5" s="21" t="n">
        <v>0.4866203703703704</v>
      </c>
      <c r="AJ5" s="21">
        <f>AI5-AH5</f>
        <v/>
      </c>
      <c r="AK5" s="16" t="n"/>
      <c r="AL5" s="21" t="n">
        <v>0.3386805555555556</v>
      </c>
      <c r="AM5" s="16" t="n"/>
      <c r="AN5" s="16" t="n"/>
    </row>
    <row r="6" ht="17" customHeight="1">
      <c r="A6" s="15" t="inlineStr">
        <is>
          <t>FERRARI GIULIA</t>
        </is>
      </c>
      <c r="B6" s="16" t="inlineStr">
        <is>
          <t>LGVHVD45Y71N997T</t>
        </is>
      </c>
      <c r="C6" s="15" t="inlineStr">
        <is>
          <t>Percorso A - Fondamenti</t>
        </is>
      </c>
      <c r="D6" s="18" t="n"/>
      <c r="E6" s="18" t="n"/>
      <c r="F6" s="18" t="n"/>
      <c r="G6" s="22" t="n">
        <v>0</v>
      </c>
      <c r="H6" s="18" t="n"/>
      <c r="I6" s="19" t="n"/>
      <c r="J6" s="19" t="n"/>
      <c r="K6" s="22" t="n">
        <v>0</v>
      </c>
      <c r="L6" s="18" t="n"/>
      <c r="M6" s="22" t="n">
        <v>0</v>
      </c>
      <c r="N6" s="18" t="n"/>
      <c r="O6" s="18" t="n"/>
      <c r="P6" s="19" t="n"/>
      <c r="Q6" s="19" t="n"/>
      <c r="R6" s="22" t="n">
        <v>0</v>
      </c>
      <c r="S6" s="22" t="n">
        <v>0</v>
      </c>
      <c r="T6" s="18" t="n"/>
      <c r="U6" s="22" t="n">
        <v>0</v>
      </c>
      <c r="V6" s="22" t="n">
        <v>0</v>
      </c>
      <c r="W6" s="19" t="n"/>
      <c r="X6" s="19" t="n"/>
      <c r="Y6" s="22" t="n">
        <v>0</v>
      </c>
      <c r="Z6" s="18" t="n"/>
      <c r="AA6" s="22" t="n">
        <v>0</v>
      </c>
      <c r="AB6" s="22" t="n">
        <v>0</v>
      </c>
      <c r="AC6" s="22" t="n">
        <v>0</v>
      </c>
      <c r="AD6" s="19" t="n"/>
      <c r="AE6" s="19" t="n"/>
      <c r="AF6" s="22" t="n">
        <v>0</v>
      </c>
      <c r="AG6" s="22" t="n">
        <v>0</v>
      </c>
      <c r="AH6" s="21">
        <f>SUM(D6:AG6)</f>
        <v/>
      </c>
      <c r="AI6" s="21" t="n">
        <v>0.6794791666666667</v>
      </c>
      <c r="AJ6" s="21">
        <f>AI6-AH6</f>
        <v/>
      </c>
      <c r="AK6" s="16" t="n"/>
      <c r="AL6" s="16" t="n"/>
      <c r="AM6" s="21" t="n">
        <v>0.6794791666666667</v>
      </c>
      <c r="AN6" s="16" t="n"/>
    </row>
    <row r="7" ht="17" customHeight="1">
      <c r="A7" s="15" t="inlineStr">
        <is>
          <t>FONTANA CHIARA</t>
        </is>
      </c>
      <c r="B7" s="16" t="inlineStr">
        <is>
          <t>ZTEIBU61L70D728Q</t>
        </is>
      </c>
      <c r="C7" s="15" t="inlineStr">
        <is>
          <t>Percorso A - Fondamenti</t>
        </is>
      </c>
      <c r="D7" s="18" t="n"/>
      <c r="E7" s="17" t="n">
        <v>0.04206018518518518</v>
      </c>
      <c r="F7" s="17" t="n">
        <v>0.100625</v>
      </c>
      <c r="G7" s="18" t="n"/>
      <c r="H7" s="17" t="n">
        <v>0.06188657407407407</v>
      </c>
      <c r="I7" s="19" t="n"/>
      <c r="J7" s="19" t="n"/>
      <c r="K7" s="17" t="n">
        <v>0.1025925925925926</v>
      </c>
      <c r="L7" s="18" t="n"/>
      <c r="M7" s="17" t="n">
        <v>0.1017708333333333</v>
      </c>
      <c r="N7" s="18" t="n"/>
      <c r="O7" s="17" t="n">
        <v>0.1084259259259259</v>
      </c>
      <c r="P7" s="19" t="n"/>
      <c r="Q7" s="19" t="n"/>
      <c r="R7" s="17" t="n">
        <v>0.07534722222222222</v>
      </c>
      <c r="S7" s="18" t="n"/>
      <c r="T7" s="17" t="n">
        <v>0.05003472222222222</v>
      </c>
      <c r="U7" s="17" t="n">
        <v>0.07290509259259259</v>
      </c>
      <c r="V7" s="17" t="n">
        <v>0.09203703703703703</v>
      </c>
      <c r="W7" s="19" t="n"/>
      <c r="X7" s="19" t="n"/>
      <c r="Y7" s="17" t="n">
        <v>0.08730324074074074</v>
      </c>
      <c r="Z7" s="17" t="n">
        <v>0.1125925925925926</v>
      </c>
      <c r="AA7" s="17" t="n">
        <v>0.08479166666666667</v>
      </c>
      <c r="AB7" s="17" t="n">
        <v>0.09815972222222223</v>
      </c>
      <c r="AC7" s="17" t="n">
        <v>0.03824074074074074</v>
      </c>
      <c r="AD7" s="19" t="n"/>
      <c r="AE7" s="19" t="n"/>
      <c r="AF7" s="17" t="n">
        <v>0.1018287037037037</v>
      </c>
      <c r="AG7" s="18" t="n"/>
      <c r="AH7" s="21">
        <f>SUM(D7:AG7)</f>
        <v/>
      </c>
      <c r="AI7" s="21" t="n">
        <v>1.330601851851852</v>
      </c>
      <c r="AJ7" s="21">
        <f>AI7-AH7</f>
        <v/>
      </c>
      <c r="AK7" s="16" t="n"/>
      <c r="AL7" s="16" t="n"/>
      <c r="AM7" s="16" t="n"/>
      <c r="AN7" s="16" t="n"/>
    </row>
    <row r="8" ht="17" customHeight="1">
      <c r="A8" s="15" t="inlineStr">
        <is>
          <t>GALLO SARA</t>
        </is>
      </c>
      <c r="B8" s="16" t="inlineStr">
        <is>
          <t>DGJHLF38A90R129I</t>
        </is>
      </c>
      <c r="C8" s="15" t="inlineStr">
        <is>
          <t>Percorso B - Specializzazione</t>
        </is>
      </c>
      <c r="D8" s="18" t="n"/>
      <c r="E8" s="18" t="n"/>
      <c r="F8" s="18" t="n"/>
      <c r="G8" s="18" t="n"/>
      <c r="H8" s="18" t="n"/>
      <c r="I8" s="20" t="n">
        <v>0</v>
      </c>
      <c r="J8" s="19" t="n"/>
      <c r="K8" s="18" t="n"/>
      <c r="L8" s="18" t="n"/>
      <c r="M8" s="18" t="n"/>
      <c r="N8" s="17" t="n">
        <v>0.07965277777777778</v>
      </c>
      <c r="O8" s="18" t="n"/>
      <c r="P8" s="19" t="n"/>
      <c r="Q8" s="19" t="n"/>
      <c r="R8" s="17" t="n">
        <v>0.07799768518518518</v>
      </c>
      <c r="S8" s="18" t="n"/>
      <c r="T8" s="18" t="n"/>
      <c r="U8" s="18" t="n"/>
      <c r="V8" s="18" t="n"/>
      <c r="W8" s="20" t="n">
        <v>0</v>
      </c>
      <c r="X8" s="20" t="n">
        <v>0</v>
      </c>
      <c r="Y8" s="18" t="n"/>
      <c r="Z8" s="18" t="n"/>
      <c r="AA8" s="18" t="n"/>
      <c r="AB8" s="18" t="n"/>
      <c r="AC8" s="18" t="n"/>
      <c r="AD8" s="20" t="n">
        <v>0</v>
      </c>
      <c r="AE8" s="20" t="n">
        <v>0</v>
      </c>
      <c r="AF8" s="18" t="n"/>
      <c r="AG8" s="18" t="n"/>
      <c r="AH8" s="21">
        <f>SUM(D8:AG8)</f>
        <v/>
      </c>
      <c r="AI8" s="21" t="n">
        <v>0.4737268518518519</v>
      </c>
      <c r="AJ8" s="21">
        <f>AI8-AH8</f>
        <v/>
      </c>
      <c r="AK8" s="16" t="n"/>
      <c r="AL8" s="21" t="n">
        <v>0.3160763888888889</v>
      </c>
      <c r="AM8" s="16" t="n"/>
      <c r="AN8" s="16" t="n"/>
    </row>
    <row r="9" ht="17" customHeight="1">
      <c r="A9" s="15" t="inlineStr">
        <is>
          <t>LONGO ALESSANDRO</t>
        </is>
      </c>
      <c r="B9" s="16" t="inlineStr">
        <is>
          <t>FNFBMZ63F95J897B</t>
        </is>
      </c>
      <c r="C9" s="15" t="inlineStr">
        <is>
          <t>Percorso A - Fondamenti</t>
        </is>
      </c>
      <c r="D9" s="18" t="n"/>
      <c r="E9" s="23" t="n">
        <v>0</v>
      </c>
      <c r="F9" s="18" t="n"/>
      <c r="G9" s="23" t="n">
        <v>0</v>
      </c>
      <c r="H9" s="23" t="n">
        <v>0.005416666666666663</v>
      </c>
      <c r="I9" s="20" t="n">
        <v>0</v>
      </c>
      <c r="J9" s="19" t="n"/>
      <c r="K9" s="18" t="n"/>
      <c r="L9" s="18" t="n"/>
      <c r="M9" s="18" t="n"/>
      <c r="N9" s="23" t="n">
        <v>0</v>
      </c>
      <c r="O9" s="18" t="n"/>
      <c r="P9" s="19" t="n"/>
      <c r="Q9" s="19" t="n"/>
      <c r="R9" s="23" t="n">
        <v>0</v>
      </c>
      <c r="S9" s="18" t="n"/>
      <c r="T9" s="23" t="n">
        <v>0</v>
      </c>
      <c r="U9" s="18" t="n"/>
      <c r="V9" s="23" t="n">
        <v>0</v>
      </c>
      <c r="W9" s="19" t="n"/>
      <c r="X9" s="19" t="n"/>
      <c r="Y9" s="18" t="n"/>
      <c r="Z9" s="18" t="n"/>
      <c r="AA9" s="18" t="n"/>
      <c r="AB9" s="23" t="n">
        <v>0.0002662037037037083</v>
      </c>
      <c r="AC9" s="23" t="n">
        <v>0</v>
      </c>
      <c r="AD9" s="19" t="n"/>
      <c r="AE9" s="19" t="n"/>
      <c r="AF9" s="23" t="n">
        <v>2.314814814815177e-05</v>
      </c>
      <c r="AG9" s="18" t="n"/>
      <c r="AH9" s="21">
        <f>SUM(D9:AG9)</f>
        <v/>
      </c>
      <c r="AI9" s="21" t="n">
        <v>0.4156828703703703</v>
      </c>
      <c r="AJ9" s="21">
        <f>AI9-AH9</f>
        <v/>
      </c>
      <c r="AK9" s="16" t="n"/>
      <c r="AL9" s="21" t="n">
        <v>0.033125</v>
      </c>
      <c r="AM9" s="16" t="n"/>
      <c r="AN9" s="21" t="n">
        <v>0.3768518518518518</v>
      </c>
    </row>
    <row r="10" ht="17" customHeight="1">
      <c r="A10" s="15" t="inlineStr">
        <is>
          <t>MORETTI DAVIDE</t>
        </is>
      </c>
      <c r="B10" s="16" t="inlineStr">
        <is>
          <t>BMIGDO11V27U654T</t>
        </is>
      </c>
      <c r="C10" s="15" t="inlineStr">
        <is>
          <t>Percorso B - Specializzazione</t>
        </is>
      </c>
      <c r="D10" s="17" t="n">
        <v>0.1017708333333333</v>
      </c>
      <c r="E10" s="17" t="n">
        <v>0.1396180555555556</v>
      </c>
      <c r="F10" s="17" t="n">
        <v>0.09903935185185185</v>
      </c>
      <c r="G10" s="18" t="n"/>
      <c r="H10" s="17" t="n">
        <v>0.1201388888888889</v>
      </c>
      <c r="I10" s="19" t="n"/>
      <c r="J10" s="20" t="n">
        <v>0</v>
      </c>
      <c r="K10" s="17" t="n">
        <v>0.1084375</v>
      </c>
      <c r="L10" s="17" t="n">
        <v>0.2412731481481482</v>
      </c>
      <c r="M10" s="17" t="n">
        <v>0.2076273148148148</v>
      </c>
      <c r="N10" s="17" t="n">
        <v>0.1082523148148148</v>
      </c>
      <c r="O10" s="17" t="n">
        <v>0.04252314814814815</v>
      </c>
      <c r="P10" s="20" t="n">
        <v>0</v>
      </c>
      <c r="Q10" s="19" t="n"/>
      <c r="R10" s="17" t="n">
        <v>0.1790162037037037</v>
      </c>
      <c r="S10" s="17" t="n">
        <v>0.2039814814814815</v>
      </c>
      <c r="T10" s="17" t="n">
        <v>0.190625</v>
      </c>
      <c r="U10" s="17" t="n">
        <v>0.1613194444444444</v>
      </c>
      <c r="V10" s="17" t="n">
        <v>0.2236226851851852</v>
      </c>
      <c r="W10" s="19" t="n"/>
      <c r="X10" s="19" t="n"/>
      <c r="Y10" s="18" t="n"/>
      <c r="Z10" s="17" t="n">
        <v>0.241099537037037</v>
      </c>
      <c r="AA10" s="17" t="n">
        <v>0.120787037037037</v>
      </c>
      <c r="AB10" s="17" t="n">
        <v>0.05449074074074074</v>
      </c>
      <c r="AC10" s="24" t="n">
        <v>0.3333333333333333</v>
      </c>
      <c r="AD10" s="19" t="n"/>
      <c r="AE10" s="19" t="n"/>
      <c r="AF10" s="17" t="n">
        <v>0.234837962962963</v>
      </c>
      <c r="AG10" s="18" t="n"/>
      <c r="AH10" s="21">
        <f>SUM(D10:AG10)</f>
        <v/>
      </c>
      <c r="AI10" s="21" t="n">
        <v>3.492604166666666</v>
      </c>
      <c r="AJ10" s="21">
        <f>AI10-AH10</f>
        <v/>
      </c>
      <c r="AK10" s="16" t="n"/>
      <c r="AL10" s="21" t="n">
        <v>0.3532060185185186</v>
      </c>
      <c r="AM10" s="16" t="n"/>
      <c r="AN10" s="16" t="n"/>
    </row>
    <row r="11" ht="17" customHeight="1">
      <c r="A11" s="15" t="inlineStr">
        <is>
          <t>RICCI ELENA</t>
        </is>
      </c>
      <c r="B11" s="16" t="inlineStr">
        <is>
          <t>DYUWDO21W38A047K</t>
        </is>
      </c>
      <c r="C11" s="15" t="inlineStr">
        <is>
          <t>Percorso B - Specializzazione</t>
        </is>
      </c>
      <c r="D11" s="23" t="n">
        <v>0</v>
      </c>
      <c r="E11" s="23" t="n">
        <v>0</v>
      </c>
      <c r="F11" s="23" t="n">
        <v>0</v>
      </c>
      <c r="G11" s="23" t="n">
        <v>0.01385141618688371</v>
      </c>
      <c r="H11" s="18" t="n"/>
      <c r="I11" s="19" t="n"/>
      <c r="J11" s="19" t="n"/>
      <c r="K11" s="23" t="n">
        <v>0</v>
      </c>
      <c r="L11" s="18" t="n"/>
      <c r="M11" s="23" t="n">
        <v>0.006633173264982565</v>
      </c>
      <c r="N11" s="23" t="n">
        <v>0</v>
      </c>
      <c r="O11" s="18" t="n"/>
      <c r="P11" s="19" t="n"/>
      <c r="Q11" s="19" t="n"/>
      <c r="R11" s="18" t="n"/>
      <c r="S11" s="23" t="n">
        <v>0.001817129629629618</v>
      </c>
      <c r="T11" s="18" t="n"/>
      <c r="U11" s="18" t="n"/>
      <c r="V11" s="18" t="n"/>
      <c r="W11" s="19" t="n"/>
      <c r="X11" s="19" t="n"/>
      <c r="Y11" s="23" t="n">
        <v>0</v>
      </c>
      <c r="Z11" s="23" t="n">
        <v>0.006770833333333319</v>
      </c>
      <c r="AA11" s="23" t="n">
        <v>0.0107175925925926</v>
      </c>
      <c r="AB11" s="18" t="n"/>
      <c r="AC11" s="23" t="n">
        <v>0</v>
      </c>
      <c r="AD11" s="19" t="n"/>
      <c r="AE11" s="19" t="n"/>
      <c r="AF11" s="23" t="n">
        <v>0.01665509259259261</v>
      </c>
      <c r="AG11" s="23" t="n">
        <v>0.0187037037037037</v>
      </c>
      <c r="AH11" s="21">
        <f>SUM(D11:AG11)</f>
        <v/>
      </c>
      <c r="AI11" s="21" t="n">
        <v>0.6495486111111112</v>
      </c>
      <c r="AJ11" s="21">
        <f>AI11-AH11</f>
        <v/>
      </c>
      <c r="AK11" s="16" t="n"/>
      <c r="AL11" s="16" t="n"/>
      <c r="AM11" s="16" t="n"/>
      <c r="AN11" s="21" t="n">
        <v>0.574399669807393</v>
      </c>
    </row>
    <row r="12" ht="17" customHeight="1">
      <c r="A12" s="15" t="inlineStr">
        <is>
          <t>ROMANO PAOLO</t>
        </is>
      </c>
      <c r="B12" s="16" t="inlineStr">
        <is>
          <t>QPUHIO09W36H278K</t>
        </is>
      </c>
      <c r="C12" s="15" t="inlineStr">
        <is>
          <t>Percorso A - Fondamenti</t>
        </is>
      </c>
      <c r="D12" s="22" t="n">
        <v>0</v>
      </c>
      <c r="E12" s="22" t="n">
        <v>0</v>
      </c>
      <c r="F12" s="22" t="n">
        <v>0</v>
      </c>
      <c r="G12" s="18" t="n"/>
      <c r="H12" s="18" t="n"/>
      <c r="I12" s="19" t="n"/>
      <c r="J12" s="20" t="n">
        <v>0</v>
      </c>
      <c r="K12" s="22" t="n">
        <v>0</v>
      </c>
      <c r="L12" s="22" t="n">
        <v>0</v>
      </c>
      <c r="M12" s="22" t="n">
        <v>0</v>
      </c>
      <c r="N12" s="18" t="n"/>
      <c r="O12" s="18" t="n"/>
      <c r="P12" s="19" t="n"/>
      <c r="Q12" s="19" t="n"/>
      <c r="R12" s="18" t="n"/>
      <c r="S12" s="22" t="n">
        <v>0</v>
      </c>
      <c r="T12" s="22" t="n">
        <v>0</v>
      </c>
      <c r="U12" s="22" t="n">
        <v>0</v>
      </c>
      <c r="V12" s="22" t="n">
        <v>0</v>
      </c>
      <c r="W12" s="19" t="n"/>
      <c r="X12" s="19" t="n"/>
      <c r="Y12" s="22" t="n">
        <v>0</v>
      </c>
      <c r="Z12" s="18" t="n"/>
      <c r="AA12" s="18" t="n"/>
      <c r="AB12" s="18" t="n"/>
      <c r="AC12" s="18" t="n"/>
      <c r="AD12" s="19" t="n"/>
      <c r="AE12" s="20" t="n">
        <v>0</v>
      </c>
      <c r="AF12" s="22" t="n">
        <v>0</v>
      </c>
      <c r="AG12" s="22" t="n">
        <v>0</v>
      </c>
      <c r="AH12" s="21">
        <f>SUM(D12:AG12)</f>
        <v/>
      </c>
      <c r="AI12" s="21" t="n">
        <v>0.8380324074074074</v>
      </c>
      <c r="AJ12" s="21">
        <f>AI12-AH12</f>
        <v/>
      </c>
      <c r="AK12" s="16" t="n"/>
      <c r="AL12" s="21" t="n">
        <v>0.1106481481481481</v>
      </c>
      <c r="AM12" s="21" t="n">
        <v>0.7273842592592593</v>
      </c>
      <c r="AN12" s="16" t="n"/>
    </row>
    <row r="13" ht="17" customHeight="1">
      <c r="A13" s="15" t="inlineStr">
        <is>
          <t>ROSSI MARIA</t>
        </is>
      </c>
      <c r="B13" s="16" t="inlineStr">
        <is>
          <t>UDAXIH28E94D692X</t>
        </is>
      </c>
      <c r="C13" s="15" t="inlineStr">
        <is>
          <t>Percorso A - Fondamenti</t>
        </is>
      </c>
      <c r="D13" s="17" t="n">
        <v>0.07337962962962963</v>
      </c>
      <c r="E13" s="17" t="n">
        <v>0.09053240740740741</v>
      </c>
      <c r="F13" s="17" t="n">
        <v>0.09998842592592593</v>
      </c>
      <c r="G13" s="18" t="n"/>
      <c r="H13" s="17" t="n">
        <v>0.05348379629629629</v>
      </c>
      <c r="I13" s="19" t="n"/>
      <c r="J13" s="19" t="n"/>
      <c r="K13" s="17" t="n">
        <v>0.1033217592592593</v>
      </c>
      <c r="L13" s="18" t="n"/>
      <c r="M13" s="18" t="n"/>
      <c r="N13" s="17" t="n">
        <v>0.06229166666666667</v>
      </c>
      <c r="O13" s="18" t="n"/>
      <c r="P13" s="19" t="n"/>
      <c r="Q13" s="19" t="n"/>
      <c r="R13" s="17" t="n">
        <v>0.0331712962962963</v>
      </c>
      <c r="S13" s="18" t="n"/>
      <c r="T13" s="18" t="n"/>
      <c r="U13" s="18" t="n"/>
      <c r="V13" s="18" t="n"/>
      <c r="W13" s="19" t="n"/>
      <c r="X13" s="19" t="n"/>
      <c r="Y13" s="18" t="n"/>
      <c r="Z13" s="17" t="n">
        <v>0.0878125</v>
      </c>
      <c r="AA13" s="17" t="n">
        <v>0.09296296296296297</v>
      </c>
      <c r="AB13" s="17" t="n">
        <v>0.1101388888888889</v>
      </c>
      <c r="AC13" s="18" t="n"/>
      <c r="AD13" s="19" t="n"/>
      <c r="AE13" s="19" t="n"/>
      <c r="AF13" s="17" t="n">
        <v>0.05677083333333333</v>
      </c>
      <c r="AG13" s="17" t="n">
        <v>0.07879629629629629</v>
      </c>
      <c r="AH13" s="21">
        <f>SUM(D13:AG13)</f>
        <v/>
      </c>
      <c r="AI13" s="21" t="n">
        <v>0.9426504629629631</v>
      </c>
      <c r="AJ13" s="21">
        <f>AI13-AH13</f>
        <v/>
      </c>
      <c r="AK13" s="16" t="n"/>
      <c r="AL13" s="16" t="n"/>
      <c r="AM13" s="16" t="n"/>
      <c r="AN13" s="16" t="n"/>
    </row>
    <row r="14" ht="17" customHeight="1">
      <c r="A14" s="15" t="inlineStr">
        <is>
          <t>SERRA MARTINA</t>
        </is>
      </c>
      <c r="B14" s="16" t="inlineStr">
        <is>
          <t>SKQQRP90S38P835A</t>
        </is>
      </c>
      <c r="C14" s="15" t="inlineStr">
        <is>
          <t>Percorso A - Fondamenti</t>
        </is>
      </c>
      <c r="D14" s="18" t="n"/>
      <c r="E14" s="18" t="n"/>
      <c r="F14" s="18" t="n"/>
      <c r="G14" s="18" t="n"/>
      <c r="H14" s="18" t="n"/>
      <c r="I14" s="20" t="n">
        <v>0</v>
      </c>
      <c r="J14" s="19" t="n"/>
      <c r="K14" s="18" t="n"/>
      <c r="L14" s="18" t="n"/>
      <c r="M14" s="18" t="n"/>
      <c r="N14" s="18" t="n"/>
      <c r="O14" s="18" t="n"/>
      <c r="P14" s="20" t="n">
        <v>0</v>
      </c>
      <c r="Q14" s="20" t="n">
        <v>0</v>
      </c>
      <c r="R14" s="18" t="n"/>
      <c r="S14" s="18" t="n"/>
      <c r="T14" s="18" t="n"/>
      <c r="U14" s="18" t="n"/>
      <c r="V14" s="18" t="n"/>
      <c r="W14" s="19" t="n"/>
      <c r="X14" s="20" t="n">
        <v>0</v>
      </c>
      <c r="Y14" s="18" t="n"/>
      <c r="Z14" s="18" t="n"/>
      <c r="AA14" s="18" t="n"/>
      <c r="AB14" s="18" t="n"/>
      <c r="AC14" s="18" t="n"/>
      <c r="AD14" s="20" t="n">
        <v>0</v>
      </c>
      <c r="AE14" s="20" t="n">
        <v>0</v>
      </c>
      <c r="AF14" s="18" t="n"/>
      <c r="AG14" s="18" t="n"/>
      <c r="AH14" s="21">
        <f>SUM(D14:AG14)</f>
        <v/>
      </c>
      <c r="AI14" s="21" t="n">
        <v>0.3978935185185186</v>
      </c>
      <c r="AJ14" s="21">
        <f>AI14-AH14</f>
        <v/>
      </c>
      <c r="AK14" s="16" t="n"/>
      <c r="AL14" s="21" t="n">
        <v>0.3978935185185186</v>
      </c>
      <c r="AM14" s="16" t="n"/>
      <c r="AN14" s="16" t="n"/>
    </row>
    <row r="15" ht="17" customHeight="1">
      <c r="A15" s="15" t="inlineStr">
        <is>
          <t>VILLA SIMONE</t>
        </is>
      </c>
      <c r="B15" s="16" t="inlineStr">
        <is>
          <t>WPGDEC57F91O089Z</t>
        </is>
      </c>
      <c r="C15" s="15" t="inlineStr">
        <is>
          <t>Percorso A - Fondamenti</t>
        </is>
      </c>
      <c r="D15" s="22" t="n">
        <v>0</v>
      </c>
      <c r="E15" s="18" t="n"/>
      <c r="F15" s="18" t="n"/>
      <c r="G15" s="22" t="n">
        <v>0</v>
      </c>
      <c r="H15" s="18" t="n"/>
      <c r="I15" s="19" t="n"/>
      <c r="J15" s="19" t="n"/>
      <c r="K15" s="22" t="n">
        <v>0</v>
      </c>
      <c r="L15" s="18" t="n"/>
      <c r="M15" s="22" t="n">
        <v>0</v>
      </c>
      <c r="N15" s="22" t="n">
        <v>0</v>
      </c>
      <c r="O15" s="18" t="n"/>
      <c r="P15" s="19" t="n"/>
      <c r="Q15" s="20" t="n">
        <v>0</v>
      </c>
      <c r="R15" s="22" t="n">
        <v>0</v>
      </c>
      <c r="S15" s="18" t="n"/>
      <c r="T15" s="22" t="n">
        <v>0</v>
      </c>
      <c r="U15" s="22" t="n">
        <v>0</v>
      </c>
      <c r="V15" s="22" t="n">
        <v>0</v>
      </c>
      <c r="W15" s="19" t="n"/>
      <c r="X15" s="19" t="n"/>
      <c r="Y15" s="22" t="n">
        <v>0</v>
      </c>
      <c r="Z15" s="22" t="n">
        <v>0</v>
      </c>
      <c r="AA15" s="22" t="n">
        <v>0</v>
      </c>
      <c r="AB15" s="18" t="n"/>
      <c r="AC15" s="22" t="n">
        <v>0</v>
      </c>
      <c r="AD15" s="19" t="n"/>
      <c r="AE15" s="19" t="n"/>
      <c r="AF15" s="22" t="n">
        <v>0</v>
      </c>
      <c r="AG15" s="22" t="n">
        <v>0</v>
      </c>
      <c r="AH15" s="21">
        <f>SUM(D15:AG15)</f>
        <v/>
      </c>
      <c r="AI15" s="21" t="n">
        <v>0.9172569444444446</v>
      </c>
      <c r="AJ15" s="21">
        <f>AI15-AH15</f>
        <v/>
      </c>
      <c r="AK15" s="16" t="n"/>
      <c r="AL15" s="21" t="n">
        <v>0.06545138888888889</v>
      </c>
      <c r="AM15" s="21" t="n">
        <v>0.8518055555555558</v>
      </c>
      <c r="AN15" s="16" t="n"/>
    </row>
    <row r="16" ht="18" customHeight="1">
      <c r="A16" s="25" t="inlineStr">
        <is>
          <t>TOTAL</t>
        </is>
      </c>
      <c r="B16" s="10" t="n"/>
      <c r="C16" s="10" t="n"/>
      <c r="AH16" s="26">
        <f>SUM(AH4:AH15)</f>
        <v/>
      </c>
      <c r="AI16" s="26">
        <f>SUM(AI4:AI15)</f>
        <v/>
      </c>
      <c r="AJ16" s="26">
        <f>SUM(AJ4:AJ15)</f>
        <v/>
      </c>
      <c r="AK16" s="26">
        <f>SUM(AK4:AK15)</f>
        <v/>
      </c>
      <c r="AL16" s="26">
        <f>SUM(AL4:AL15)</f>
        <v/>
      </c>
      <c r="AM16" s="26">
        <f>SUM(AM4:AM15)</f>
        <v/>
      </c>
      <c r="AN16" s="26">
        <f>SUM(AN4:AN15)</f>
        <v/>
      </c>
    </row>
  </sheetData>
  <mergeCells count="1">
    <mergeCell ref="A1:AN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3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26" customHeight="1">
      <c r="A1" s="12" t="inlineStr">
        <is>
          <t>TRAINING HOURS MONITORING - July 2026 - Azienda Demo S.r.l.</t>
        </is>
      </c>
    </row>
    <row r="2" ht="38" customHeight="1"/>
    <row r="3" ht="32" customHeight="1">
      <c r="A3" s="2" t="inlineStr">
        <is>
          <t>Learner</t>
        </is>
      </c>
      <c r="B3" s="2" t="inlineStr">
        <is>
          <t>Tax ID</t>
        </is>
      </c>
      <c r="C3" s="2" t="inlineStr">
        <is>
          <t>Training Programme</t>
        </is>
      </c>
      <c r="D3" s="13" t="inlineStr">
        <is>
          <t>1
W</t>
        </is>
      </c>
      <c r="E3" s="13" t="inlineStr">
        <is>
          <t>2
T</t>
        </is>
      </c>
      <c r="F3" s="13" t="inlineStr">
        <is>
          <t>3
F</t>
        </is>
      </c>
      <c r="G3" s="14" t="inlineStr">
        <is>
          <t>4
S</t>
        </is>
      </c>
      <c r="H3" s="14" t="inlineStr">
        <is>
          <t>5
S</t>
        </is>
      </c>
      <c r="I3" s="13" t="inlineStr">
        <is>
          <t>6
M</t>
        </is>
      </c>
      <c r="J3" s="13" t="inlineStr">
        <is>
          <t>7
T</t>
        </is>
      </c>
      <c r="K3" s="13" t="inlineStr">
        <is>
          <t>8
W</t>
        </is>
      </c>
      <c r="L3" s="13" t="inlineStr">
        <is>
          <t>9
T</t>
        </is>
      </c>
      <c r="M3" s="13" t="inlineStr">
        <is>
          <t>10
F</t>
        </is>
      </c>
      <c r="N3" s="14" t="inlineStr">
        <is>
          <t>11
S</t>
        </is>
      </c>
      <c r="O3" s="14" t="inlineStr">
        <is>
          <t>12
S</t>
        </is>
      </c>
      <c r="P3" s="13" t="inlineStr">
        <is>
          <t>13
M</t>
        </is>
      </c>
      <c r="Q3" s="13" t="inlineStr">
        <is>
          <t>14
T</t>
        </is>
      </c>
      <c r="R3" s="13" t="inlineStr">
        <is>
          <t>15
W</t>
        </is>
      </c>
      <c r="S3" s="13" t="inlineStr">
        <is>
          <t>16
T</t>
        </is>
      </c>
      <c r="T3" s="13" t="inlineStr">
        <is>
          <t>17
F</t>
        </is>
      </c>
      <c r="U3" s="14" t="inlineStr">
        <is>
          <t>18
S</t>
        </is>
      </c>
      <c r="V3" s="14" t="inlineStr">
        <is>
          <t>19
S</t>
        </is>
      </c>
      <c r="W3" s="13" t="inlineStr">
        <is>
          <t>20
M</t>
        </is>
      </c>
      <c r="X3" s="13" t="inlineStr">
        <is>
          <t>21
T</t>
        </is>
      </c>
      <c r="Y3" s="13" t="inlineStr">
        <is>
          <t>22
W</t>
        </is>
      </c>
      <c r="Z3" s="13" t="inlineStr">
        <is>
          <t>23
T</t>
        </is>
      </c>
      <c r="AA3" s="13" t="inlineStr">
        <is>
          <t>24
F</t>
        </is>
      </c>
      <c r="AB3" s="14" t="inlineStr">
        <is>
          <t>25
S</t>
        </is>
      </c>
      <c r="AC3" s="14" t="inlineStr">
        <is>
          <t>26
S</t>
        </is>
      </c>
      <c r="AD3" s="13" t="inlineStr">
        <is>
          <t>27
M</t>
        </is>
      </c>
      <c r="AE3" s="13" t="inlineStr">
        <is>
          <t>28
T</t>
        </is>
      </c>
      <c r="AF3" s="13" t="inlineStr">
        <is>
          <t>29
W</t>
        </is>
      </c>
      <c r="AG3" s="13" t="inlineStr">
        <is>
          <t>30
T</t>
        </is>
      </c>
      <c r="AH3" s="13" t="inlineStr">
        <is>
          <t>31
F</t>
        </is>
      </c>
      <c r="AI3" s="2" t="inlineStr">
        <is>
          <t>Total
Effective Hours</t>
        </is>
      </c>
      <c r="AJ3" s="2" t="inlineStr">
        <is>
          <t>Total
Hours</t>
        </is>
      </c>
      <c r="AK3" s="2" t="inlineStr">
        <is>
          <t>Total
Excess</t>
        </is>
      </c>
      <c r="AL3" s="2" t="inlineStr">
        <is>
          <t>Excess
Worked Hours</t>
        </is>
      </c>
      <c r="AM3" s="2" t="inlineStr">
        <is>
          <t>Weekend
Excess</t>
        </is>
      </c>
      <c r="AN3" s="2" t="inlineStr">
        <is>
          <t>Excess
After 18:00</t>
        </is>
      </c>
      <c r="AO3" s="2" t="inlineStr">
        <is>
          <t>Early-Morning
Excess</t>
        </is>
      </c>
    </row>
    <row r="4" ht="17" customHeight="1">
      <c r="A4" s="15" t="inlineStr">
        <is>
          <t>BIANCHI LUCA</t>
        </is>
      </c>
      <c r="B4" s="16" t="inlineStr">
        <is>
          <t>MVULOQ57D31H065K</t>
        </is>
      </c>
      <c r="C4" s="15" t="inlineStr">
        <is>
          <t>Percorso A - Fondamenti</t>
        </is>
      </c>
      <c r="D4" s="17" t="n">
        <v>0.03263888888888889</v>
      </c>
      <c r="E4" s="17" t="n">
        <v>0.07490740740740741</v>
      </c>
      <c r="F4" s="17" t="n">
        <v>0.05004629629629629</v>
      </c>
      <c r="G4" s="19" t="n"/>
      <c r="H4" s="19" t="n"/>
      <c r="I4" s="27" t="n">
        <v>0</v>
      </c>
      <c r="J4" s="27" t="n">
        <v>0</v>
      </c>
      <c r="K4" s="17" t="n">
        <v>0.04075231481481482</v>
      </c>
      <c r="L4" s="18" t="n"/>
      <c r="M4" s="18" t="n"/>
      <c r="N4" s="19" t="n"/>
      <c r="O4" s="19" t="n"/>
      <c r="P4" s="18" t="n"/>
      <c r="Q4" s="18" t="n"/>
      <c r="R4" s="17" t="n">
        <v>0.08638888888888889</v>
      </c>
      <c r="S4" s="18" t="n"/>
      <c r="T4" s="17" t="n">
        <v>0.03822916666666667</v>
      </c>
      <c r="U4" s="19" t="n"/>
      <c r="V4" s="19" t="n"/>
      <c r="W4" s="18" t="n"/>
      <c r="X4" s="27" t="n">
        <v>0</v>
      </c>
      <c r="Y4" s="17" t="n">
        <v>0.05226851851851852</v>
      </c>
      <c r="Z4" s="17" t="n">
        <v>0.03361111111111111</v>
      </c>
      <c r="AA4" s="18" t="n"/>
      <c r="AB4" s="20" t="n">
        <v>0</v>
      </c>
      <c r="AC4" s="19" t="n"/>
      <c r="AD4" s="27" t="n">
        <v>0</v>
      </c>
      <c r="AE4" s="27" t="n">
        <v>0</v>
      </c>
      <c r="AF4" s="18" t="n"/>
      <c r="AG4" s="17" t="n">
        <v>0.0403125</v>
      </c>
      <c r="AH4" s="17" t="n">
        <v>0.1142361111111111</v>
      </c>
      <c r="AI4" s="21">
        <f>SUM(D4:AH4)</f>
        <v/>
      </c>
      <c r="AJ4" s="21" t="n">
        <v>1.065462962962963</v>
      </c>
      <c r="AK4" s="21">
        <f>AJ4-AI4</f>
        <v/>
      </c>
      <c r="AL4" s="21" t="n">
        <v>0.4614583333333333</v>
      </c>
      <c r="AM4" s="21" t="n">
        <v>0.04061342592592593</v>
      </c>
      <c r="AN4" s="16" t="n"/>
      <c r="AO4" s="16" t="n"/>
    </row>
    <row r="5" ht="17" customHeight="1">
      <c r="A5" s="15" t="inlineStr">
        <is>
          <t>CONTI MARCO</t>
        </is>
      </c>
      <c r="B5" s="16" t="inlineStr">
        <is>
          <t>YRBOCK32K14Y413Q</t>
        </is>
      </c>
      <c r="C5" s="15" t="inlineStr">
        <is>
          <t>Percorso B - Specializzazione</t>
        </is>
      </c>
      <c r="D5" s="18" t="n"/>
      <c r="E5" s="18" t="n"/>
      <c r="F5" s="18" t="n"/>
      <c r="G5" s="20" t="n">
        <v>0</v>
      </c>
      <c r="H5" s="20" t="n">
        <v>0</v>
      </c>
      <c r="I5" s="18" t="n"/>
      <c r="J5" s="18" t="n"/>
      <c r="K5" s="18" t="n"/>
      <c r="L5" s="18" t="n"/>
      <c r="M5" s="18" t="n"/>
      <c r="N5" s="19" t="n"/>
      <c r="O5" s="20" t="n">
        <v>0</v>
      </c>
      <c r="P5" s="18" t="n"/>
      <c r="Q5" s="18" t="n"/>
      <c r="R5" s="18" t="n"/>
      <c r="S5" s="18" t="n"/>
      <c r="T5" s="18" t="n"/>
      <c r="U5" s="20" t="n">
        <v>0</v>
      </c>
      <c r="V5" s="19" t="n"/>
      <c r="W5" s="18" t="n"/>
      <c r="X5" s="27" t="n">
        <v>0</v>
      </c>
      <c r="Y5" s="18" t="n"/>
      <c r="Z5" s="18" t="n"/>
      <c r="AA5" s="18" t="n"/>
      <c r="AB5" s="19" t="n"/>
      <c r="AC5" s="20" t="n">
        <v>0</v>
      </c>
      <c r="AD5" s="18" t="n"/>
      <c r="AE5" s="27" t="n">
        <v>0</v>
      </c>
      <c r="AF5" s="18" t="n"/>
      <c r="AG5" s="18" t="n"/>
      <c r="AH5" s="18" t="n"/>
      <c r="AI5" s="21">
        <f>SUM(D5:AH5)</f>
        <v/>
      </c>
      <c r="AJ5" s="21" t="n">
        <v>0.6370717592592592</v>
      </c>
      <c r="AK5" s="21">
        <f>AJ5-AI5</f>
        <v/>
      </c>
      <c r="AL5" s="21" t="n">
        <v>0.1367592592592592</v>
      </c>
      <c r="AM5" s="21" t="n">
        <v>0.5003125</v>
      </c>
      <c r="AN5" s="16" t="n"/>
      <c r="AO5" s="16" t="n"/>
    </row>
    <row r="6" ht="17" customHeight="1">
      <c r="A6" s="15" t="inlineStr">
        <is>
          <t>FERRARI GIULIA</t>
        </is>
      </c>
      <c r="B6" s="16" t="inlineStr">
        <is>
          <t>LGVHVD45Y71N997T</t>
        </is>
      </c>
      <c r="C6" s="15" t="inlineStr">
        <is>
          <t>Percorso A - Fondamenti</t>
        </is>
      </c>
      <c r="D6" s="22" t="n">
        <v>0</v>
      </c>
      <c r="E6" s="22" t="n">
        <v>0</v>
      </c>
      <c r="F6" s="22" t="n">
        <v>0</v>
      </c>
      <c r="G6" s="19" t="n"/>
      <c r="H6" s="19" t="n"/>
      <c r="I6" s="18" t="n"/>
      <c r="J6" s="18" t="n"/>
      <c r="K6" s="22" t="n">
        <v>0</v>
      </c>
      <c r="L6" s="18" t="n"/>
      <c r="M6" s="18" t="n"/>
      <c r="N6" s="19" t="n"/>
      <c r="O6" s="19" t="n"/>
      <c r="P6" s="27" t="n">
        <v>0</v>
      </c>
      <c r="Q6" s="27" t="n">
        <v>0</v>
      </c>
      <c r="R6" s="18" t="n"/>
      <c r="S6" s="22" t="n">
        <v>0</v>
      </c>
      <c r="T6" s="18" t="n"/>
      <c r="U6" s="19" t="n"/>
      <c r="V6" s="19" t="n"/>
      <c r="W6" s="18" t="n"/>
      <c r="X6" s="27" t="n">
        <v>0</v>
      </c>
      <c r="Y6" s="22" t="n">
        <v>0</v>
      </c>
      <c r="Z6" s="22" t="n">
        <v>0</v>
      </c>
      <c r="AA6" s="18" t="n"/>
      <c r="AB6" s="19" t="n"/>
      <c r="AC6" s="19" t="n"/>
      <c r="AD6" s="18" t="n"/>
      <c r="AE6" s="27" t="n">
        <v>0</v>
      </c>
      <c r="AF6" s="18" t="n"/>
      <c r="AG6" s="22" t="n">
        <v>0</v>
      </c>
      <c r="AH6" s="18" t="n"/>
      <c r="AI6" s="21">
        <f>SUM(D6:AH6)</f>
        <v/>
      </c>
      <c r="AJ6" s="21" t="n">
        <v>0.6942361111111111</v>
      </c>
      <c r="AK6" s="21">
        <f>AJ6-AI6</f>
        <v/>
      </c>
      <c r="AL6" s="16" t="n"/>
      <c r="AM6" s="16" t="n"/>
      <c r="AN6" s="21" t="n">
        <v>0.6942361111111111</v>
      </c>
      <c r="AO6" s="16" t="n"/>
    </row>
    <row r="7" ht="17" customHeight="1">
      <c r="A7" s="15" t="inlineStr">
        <is>
          <t>FONTANA CHIARA</t>
        </is>
      </c>
      <c r="B7" s="16" t="inlineStr">
        <is>
          <t>ZTEIBU61L70D728Q</t>
        </is>
      </c>
      <c r="C7" s="15" t="inlineStr">
        <is>
          <t>Percorso A - Fondamenti</t>
        </is>
      </c>
      <c r="D7" s="17" t="n">
        <v>0.04096064814814815</v>
      </c>
      <c r="E7" s="17" t="n">
        <v>0.0983912037037037</v>
      </c>
      <c r="F7" s="17" t="n">
        <v>0.0640162037037037</v>
      </c>
      <c r="G7" s="19" t="n"/>
      <c r="H7" s="19" t="n"/>
      <c r="I7" s="17" t="n">
        <v>0.09748842592592592</v>
      </c>
      <c r="J7" s="17" t="n">
        <v>0.06739583333333334</v>
      </c>
      <c r="K7" s="18" t="n"/>
      <c r="L7" s="18" t="n"/>
      <c r="M7" s="17" t="n">
        <v>0.07258101851851852</v>
      </c>
      <c r="N7" s="19" t="n"/>
      <c r="O7" s="19" t="n"/>
      <c r="P7" s="17" t="n">
        <v>0.06630787037037038</v>
      </c>
      <c r="Q7" s="17" t="n">
        <v>0.07689814814814815</v>
      </c>
      <c r="R7" s="17" t="n">
        <v>0.05503472222222222</v>
      </c>
      <c r="S7" s="17" t="n">
        <v>0.08952546296296297</v>
      </c>
      <c r="T7" s="17" t="n">
        <v>0.1089351851851852</v>
      </c>
      <c r="U7" s="19" t="n"/>
      <c r="V7" s="19" t="n"/>
      <c r="W7" s="18" t="n"/>
      <c r="X7" s="17" t="n">
        <v>0.06096064814814815</v>
      </c>
      <c r="Y7" s="18" t="n"/>
      <c r="Z7" s="17" t="n">
        <v>0.09753472222222222</v>
      </c>
      <c r="AA7" s="17" t="n">
        <v>0.08561342592592593</v>
      </c>
      <c r="AB7" s="19" t="n"/>
      <c r="AC7" s="19" t="n"/>
      <c r="AD7" s="17" t="n">
        <v>0.1121875</v>
      </c>
      <c r="AE7" s="17" t="n">
        <v>0.04121527777777777</v>
      </c>
      <c r="AF7" s="17" t="n">
        <v>0.05100694444444445</v>
      </c>
      <c r="AG7" s="17" t="n">
        <v>0.0744675925925926</v>
      </c>
      <c r="AH7" s="17" t="n">
        <v>0.06821759259259259</v>
      </c>
      <c r="AI7" s="21">
        <f>SUM(D7:AH7)</f>
        <v/>
      </c>
      <c r="AJ7" s="21" t="n">
        <v>1.428738425925926</v>
      </c>
      <c r="AK7" s="21">
        <f>AJ7-AI7</f>
        <v/>
      </c>
      <c r="AL7" s="16" t="n"/>
      <c r="AM7" s="16" t="n"/>
      <c r="AN7" s="16" t="n"/>
      <c r="AO7" s="16" t="n"/>
    </row>
    <row r="8" ht="17" customHeight="1">
      <c r="A8" s="15" t="inlineStr">
        <is>
          <t>GALLO SARA</t>
        </is>
      </c>
      <c r="B8" s="16" t="inlineStr">
        <is>
          <t>DGJHLF38A90R129I</t>
        </is>
      </c>
      <c r="C8" s="15" t="inlineStr">
        <is>
          <t>Percorso B - Specializzazione</t>
        </is>
      </c>
      <c r="D8" s="18" t="n"/>
      <c r="E8" s="18" t="n"/>
      <c r="F8" s="18" t="n"/>
      <c r="G8" s="19" t="n"/>
      <c r="H8" s="20" t="n">
        <v>0</v>
      </c>
      <c r="I8" s="18" t="n"/>
      <c r="J8" s="18" t="n"/>
      <c r="K8" s="18" t="n"/>
      <c r="L8" s="18" t="n"/>
      <c r="M8" s="18" t="n"/>
      <c r="N8" s="20" t="n">
        <v>0</v>
      </c>
      <c r="O8" s="20" t="n">
        <v>0</v>
      </c>
      <c r="P8" s="18" t="n"/>
      <c r="Q8" s="18" t="n"/>
      <c r="R8" s="18" t="n"/>
      <c r="S8" s="17" t="n">
        <v>0.06696759259259259</v>
      </c>
      <c r="T8" s="18" t="n"/>
      <c r="U8" s="20" t="n">
        <v>0</v>
      </c>
      <c r="V8" s="19" t="n"/>
      <c r="W8" s="18" t="n"/>
      <c r="X8" s="18" t="n"/>
      <c r="Y8" s="17" t="n">
        <v>0.07033564814814815</v>
      </c>
      <c r="Z8" s="18" t="n"/>
      <c r="AA8" s="18" t="n"/>
      <c r="AB8" s="20" t="n">
        <v>0</v>
      </c>
      <c r="AC8" s="20" t="n">
        <v>0</v>
      </c>
      <c r="AD8" s="18" t="n"/>
      <c r="AE8" s="18" t="n"/>
      <c r="AF8" s="18" t="n"/>
      <c r="AG8" s="18" t="n"/>
      <c r="AH8" s="18" t="n"/>
      <c r="AI8" s="21">
        <f>SUM(D8:AH8)</f>
        <v/>
      </c>
      <c r="AJ8" s="21" t="n">
        <v>0.6028009259259259</v>
      </c>
      <c r="AK8" s="21">
        <f>AJ8-AI8</f>
        <v/>
      </c>
      <c r="AL8" s="16" t="n"/>
      <c r="AM8" s="21" t="n">
        <v>0.4654976851851853</v>
      </c>
      <c r="AN8" s="16" t="n"/>
      <c r="AO8" s="16" t="n"/>
    </row>
    <row r="9" ht="17" customHeight="1">
      <c r="A9" s="15" t="inlineStr">
        <is>
          <t>LONGO ALESSANDRO</t>
        </is>
      </c>
      <c r="B9" s="16" t="inlineStr">
        <is>
          <t>FNFBMZ63F95J897B</t>
        </is>
      </c>
      <c r="C9" s="15" t="inlineStr">
        <is>
          <t>Percorso A - Fondamenti</t>
        </is>
      </c>
      <c r="D9" s="18" t="n"/>
      <c r="E9" s="23" t="n">
        <v>0.002060185185185179</v>
      </c>
      <c r="F9" s="23" t="n">
        <v>0</v>
      </c>
      <c r="G9" s="19" t="n"/>
      <c r="H9" s="19" t="n"/>
      <c r="I9" s="23" t="n">
        <v>0</v>
      </c>
      <c r="J9" s="18" t="n"/>
      <c r="K9" s="23" t="n">
        <v>0.002210648148148128</v>
      </c>
      <c r="L9" s="23" t="n">
        <v>0</v>
      </c>
      <c r="M9" s="23" t="n">
        <v>0</v>
      </c>
      <c r="N9" s="19" t="n"/>
      <c r="O9" s="19" t="n"/>
      <c r="P9" s="18" t="n"/>
      <c r="Q9" s="23" t="n">
        <v>0</v>
      </c>
      <c r="R9" s="23" t="n">
        <v>0</v>
      </c>
      <c r="S9" s="23" t="n">
        <v>0.0003703703703703543</v>
      </c>
      <c r="T9" s="23" t="n">
        <v>0.002095521029963761</v>
      </c>
      <c r="U9" s="19" t="n"/>
      <c r="V9" s="19" t="n"/>
      <c r="W9" s="18" t="n"/>
      <c r="X9" s="23" t="n">
        <v>0</v>
      </c>
      <c r="Y9" s="18" t="n"/>
      <c r="Z9" s="23" t="n">
        <v>0.0003125000000000118</v>
      </c>
      <c r="AA9" s="18" t="n"/>
      <c r="AB9" s="19" t="n"/>
      <c r="AC9" s="19" t="n"/>
      <c r="AD9" s="18" t="n"/>
      <c r="AE9" s="23" t="n">
        <v>0</v>
      </c>
      <c r="AF9" s="23" t="n">
        <v>0.003229166666666653</v>
      </c>
      <c r="AG9" s="23" t="n">
        <v>0.001806005482182886</v>
      </c>
      <c r="AH9" s="23" t="n">
        <v>0</v>
      </c>
      <c r="AI9" s="21">
        <f>SUM(D9:AH9)</f>
        <v/>
      </c>
      <c r="AJ9" s="21" t="n">
        <v>0.6696759259259258</v>
      </c>
      <c r="AK9" s="21">
        <f>AJ9-AI9</f>
        <v/>
      </c>
      <c r="AL9" s="16" t="n"/>
      <c r="AM9" s="16" t="n"/>
      <c r="AN9" s="16" t="n"/>
      <c r="AO9" s="21" t="n">
        <v>0.657591529043409</v>
      </c>
    </row>
    <row r="10" ht="17" customHeight="1">
      <c r="A10" s="15" t="inlineStr">
        <is>
          <t>MORETTI DAVIDE</t>
        </is>
      </c>
      <c r="B10" s="16" t="inlineStr">
        <is>
          <t>BMIGDO11V27U654T</t>
        </is>
      </c>
      <c r="C10" s="15" t="inlineStr">
        <is>
          <t>Percorso B - Specializzazione</t>
        </is>
      </c>
      <c r="D10" s="18" t="n"/>
      <c r="E10" s="17" t="n">
        <v>0.1160763888888889</v>
      </c>
      <c r="F10" s="18" t="n"/>
      <c r="G10" s="19" t="n"/>
      <c r="H10" s="19" t="n"/>
      <c r="I10" s="18" t="n"/>
      <c r="J10" s="27" t="n">
        <v>0</v>
      </c>
      <c r="K10" s="18" t="n"/>
      <c r="L10" s="18" t="n"/>
      <c r="M10" s="17" t="n">
        <v>0.2586226851851852</v>
      </c>
      <c r="N10" s="19" t="n"/>
      <c r="O10" s="19" t="n"/>
      <c r="P10" s="18" t="n"/>
      <c r="Q10" s="27" t="n">
        <v>0</v>
      </c>
      <c r="R10" s="17" t="n">
        <v>0.1367939814814815</v>
      </c>
      <c r="S10" s="17" t="n">
        <v>0.1255208333333333</v>
      </c>
      <c r="T10" s="17" t="n">
        <v>0.08570601851851851</v>
      </c>
      <c r="U10" s="19" t="n"/>
      <c r="V10" s="19" t="n"/>
      <c r="W10" s="27" t="n">
        <v>0</v>
      </c>
      <c r="X10" s="27" t="n">
        <v>0</v>
      </c>
      <c r="Y10" s="17" t="n">
        <v>0.1449305555555556</v>
      </c>
      <c r="Z10" s="17" t="n">
        <v>0.1017013888888889</v>
      </c>
      <c r="AA10" s="17" t="n">
        <v>0.197974537037037</v>
      </c>
      <c r="AB10" s="19" t="n"/>
      <c r="AC10" s="19" t="n"/>
      <c r="AD10" s="18" t="n"/>
      <c r="AE10" s="27" t="n">
        <v>0</v>
      </c>
      <c r="AF10" s="17" t="n">
        <v>0.2697106481481482</v>
      </c>
      <c r="AG10" s="17" t="n">
        <v>0.1082638888888889</v>
      </c>
      <c r="AH10" s="17" t="n">
        <v>0.1472800925925926</v>
      </c>
      <c r="AI10" s="21">
        <f>SUM(D10:AH10)</f>
        <v/>
      </c>
      <c r="AJ10" s="21" t="n">
        <v>2.558738425925926</v>
      </c>
      <c r="AK10" s="21">
        <f>AJ10-AI10</f>
        <v/>
      </c>
      <c r="AL10" s="21" t="n">
        <v>0.8402083333333334</v>
      </c>
      <c r="AM10" s="16" t="n"/>
      <c r="AN10" s="16" t="n"/>
      <c r="AO10" s="16" t="n"/>
    </row>
    <row r="11" ht="17" customHeight="1">
      <c r="A11" s="15" t="inlineStr">
        <is>
          <t>RICCI ELENA</t>
        </is>
      </c>
      <c r="B11" s="16" t="inlineStr">
        <is>
          <t>DYUWDO21W38A047K</t>
        </is>
      </c>
      <c r="C11" s="15" t="inlineStr">
        <is>
          <t>Percorso B - Specializzazione</t>
        </is>
      </c>
      <c r="D11" s="18" t="n"/>
      <c r="E11" s="18" t="n"/>
      <c r="F11" s="18" t="n"/>
      <c r="G11" s="19" t="n"/>
      <c r="H11" s="19" t="n"/>
      <c r="I11" s="18" t="n"/>
      <c r="J11" s="27" t="n">
        <v>0</v>
      </c>
      <c r="K11" s="18" t="n"/>
      <c r="L11" s="18" t="n"/>
      <c r="M11" s="18" t="n"/>
      <c r="N11" s="19" t="n"/>
      <c r="O11" s="19" t="n"/>
      <c r="P11" s="27" t="n">
        <v>0</v>
      </c>
      <c r="Q11" s="27" t="n">
        <v>0</v>
      </c>
      <c r="R11" s="18" t="n"/>
      <c r="S11" s="18" t="n"/>
      <c r="T11" s="23" t="n">
        <v>0</v>
      </c>
      <c r="U11" s="19" t="n"/>
      <c r="V11" s="19" t="n"/>
      <c r="W11" s="27" t="n">
        <v>0</v>
      </c>
      <c r="X11" s="27" t="n">
        <v>0</v>
      </c>
      <c r="Y11" s="23" t="n">
        <v>0</v>
      </c>
      <c r="Z11" s="23" t="n">
        <v>0.006712962962962939</v>
      </c>
      <c r="AA11" s="23" t="n">
        <v>0.01515046296296295</v>
      </c>
      <c r="AB11" s="19" t="n"/>
      <c r="AC11" s="19" t="n"/>
      <c r="AD11" s="18" t="n"/>
      <c r="AE11" s="27" t="n">
        <v>0</v>
      </c>
      <c r="AF11" s="18" t="n"/>
      <c r="AG11" s="18" t="n"/>
      <c r="AH11" s="23" t="n">
        <v>0</v>
      </c>
      <c r="AI11" s="21">
        <f>SUM(D11:AH11)</f>
        <v/>
      </c>
      <c r="AJ11" s="21" t="n">
        <v>0.4422337962962963</v>
      </c>
      <c r="AK11" s="21">
        <f>AJ11-AI11</f>
        <v/>
      </c>
      <c r="AL11" s="21" t="n">
        <v>0.0237847222222222</v>
      </c>
      <c r="AM11" s="16" t="n"/>
      <c r="AN11" s="16" t="n"/>
      <c r="AO11" s="21" t="n">
        <v>0.3965856481481482</v>
      </c>
    </row>
    <row r="12" ht="17" customHeight="1">
      <c r="A12" s="15" t="inlineStr">
        <is>
          <t>ROMANO PAOLO</t>
        </is>
      </c>
      <c r="B12" s="16" t="inlineStr">
        <is>
          <t>QPUHIO09W36H278K</t>
        </is>
      </c>
      <c r="C12" s="15" t="inlineStr">
        <is>
          <t>Percorso A - Fondamenti</t>
        </is>
      </c>
      <c r="D12" s="18" t="n"/>
      <c r="E12" s="22" t="n">
        <v>0</v>
      </c>
      <c r="F12" s="22" t="n">
        <v>0</v>
      </c>
      <c r="G12" s="20" t="n">
        <v>0</v>
      </c>
      <c r="H12" s="19" t="n"/>
      <c r="I12" s="27" t="n">
        <v>0</v>
      </c>
      <c r="J12" s="27" t="n">
        <v>0</v>
      </c>
      <c r="K12" s="22" t="n">
        <v>0</v>
      </c>
      <c r="L12" s="18" t="n"/>
      <c r="M12" s="22" t="n">
        <v>0</v>
      </c>
      <c r="N12" s="19" t="n"/>
      <c r="O12" s="19" t="n"/>
      <c r="P12" s="18" t="n"/>
      <c r="Q12" s="27" t="n">
        <v>0</v>
      </c>
      <c r="R12" s="22" t="n">
        <v>0</v>
      </c>
      <c r="S12" s="18" t="n"/>
      <c r="T12" s="22" t="n">
        <v>0</v>
      </c>
      <c r="U12" s="19" t="n"/>
      <c r="V12" s="19" t="n"/>
      <c r="W12" s="27" t="n">
        <v>0</v>
      </c>
      <c r="X12" s="27" t="n">
        <v>0</v>
      </c>
      <c r="Y12" s="22" t="n">
        <v>0</v>
      </c>
      <c r="Z12" s="18" t="n"/>
      <c r="AA12" s="22" t="n">
        <v>0</v>
      </c>
      <c r="AB12" s="19" t="n"/>
      <c r="AC12" s="20" t="n">
        <v>0</v>
      </c>
      <c r="AD12" s="27" t="n">
        <v>0</v>
      </c>
      <c r="AE12" s="27" t="n">
        <v>0</v>
      </c>
      <c r="AF12" s="22" t="n">
        <v>0</v>
      </c>
      <c r="AG12" s="22" t="n">
        <v>0</v>
      </c>
      <c r="AH12" s="22" t="n">
        <v>0</v>
      </c>
      <c r="AI12" s="21">
        <f>SUM(D12:AH12)</f>
        <v/>
      </c>
      <c r="AJ12" s="21" t="n">
        <v>1.133900462962963</v>
      </c>
      <c r="AK12" s="21">
        <f>AJ12-AI12</f>
        <v/>
      </c>
      <c r="AL12" s="16" t="n"/>
      <c r="AM12" s="21" t="n">
        <v>0.1182523148148148</v>
      </c>
      <c r="AN12" s="21" t="n">
        <v>1.015648148148148</v>
      </c>
      <c r="AO12" s="16" t="n"/>
    </row>
    <row r="13" ht="17" customHeight="1">
      <c r="A13" s="15" t="inlineStr">
        <is>
          <t>ROSSI MARIA</t>
        </is>
      </c>
      <c r="B13" s="16" t="inlineStr">
        <is>
          <t>UDAXIH28E94D692X</t>
        </is>
      </c>
      <c r="C13" s="15" t="inlineStr">
        <is>
          <t>Percorso A - Fondamenti</t>
        </is>
      </c>
      <c r="D13" s="17" t="n">
        <v>0.1065740740740741</v>
      </c>
      <c r="E13" s="17" t="n">
        <v>0.09435185185185185</v>
      </c>
      <c r="F13" s="18" t="n"/>
      <c r="G13" s="19" t="n"/>
      <c r="H13" s="19" t="n"/>
      <c r="I13" s="27" t="n">
        <v>0</v>
      </c>
      <c r="J13" s="27" t="n">
        <v>0</v>
      </c>
      <c r="K13" s="18" t="n"/>
      <c r="L13" s="17" t="n">
        <v>0.06255787037037037</v>
      </c>
      <c r="M13" s="17" t="n">
        <v>0.1044791666666667</v>
      </c>
      <c r="N13" s="19" t="n"/>
      <c r="O13" s="19" t="n"/>
      <c r="P13" s="18" t="n"/>
      <c r="Q13" s="18" t="n"/>
      <c r="R13" s="18" t="n"/>
      <c r="S13" s="17" t="n">
        <v>0.04300925925925925</v>
      </c>
      <c r="T13" s="18" t="n"/>
      <c r="U13" s="19" t="n"/>
      <c r="V13" s="19" t="n"/>
      <c r="W13" s="27" t="n">
        <v>0</v>
      </c>
      <c r="X13" s="18" t="n"/>
      <c r="Y13" s="17" t="n">
        <v>0.06188657407407407</v>
      </c>
      <c r="Z13" s="17" t="n">
        <v>0.07556712962962962</v>
      </c>
      <c r="AA13" s="17" t="n">
        <v>0.03895833333333334</v>
      </c>
      <c r="AB13" s="19" t="n"/>
      <c r="AC13" s="19" t="n"/>
      <c r="AD13" s="27" t="n">
        <v>0</v>
      </c>
      <c r="AE13" s="27" t="n">
        <v>0</v>
      </c>
      <c r="AF13" s="17" t="n">
        <v>0.07728009259259259</v>
      </c>
      <c r="AG13" s="17" t="n">
        <v>0.1135532407407407</v>
      </c>
      <c r="AH13" s="18" t="n"/>
      <c r="AI13" s="21">
        <f>SUM(D13:AH13)</f>
        <v/>
      </c>
      <c r="AJ13" s="21" t="n">
        <v>1.108483796296296</v>
      </c>
      <c r="AK13" s="21">
        <f>AJ13-AI13</f>
        <v/>
      </c>
      <c r="AL13" s="21" t="n">
        <v>0.3302662037037037</v>
      </c>
      <c r="AM13" s="16" t="n"/>
      <c r="AN13" s="16" t="n"/>
      <c r="AO13" s="16" t="n"/>
    </row>
    <row r="14" ht="17" customHeight="1">
      <c r="A14" s="15" t="inlineStr">
        <is>
          <t>SERRA MARTINA</t>
        </is>
      </c>
      <c r="B14" s="16" t="inlineStr">
        <is>
          <t>SKQQRP90S38P835A</t>
        </is>
      </c>
      <c r="C14" s="15" t="inlineStr">
        <is>
          <t>Percorso A - Fondamenti</t>
        </is>
      </c>
      <c r="D14" s="18" t="n"/>
      <c r="E14" s="18" t="n"/>
      <c r="F14" s="18" t="n"/>
      <c r="G14" s="19" t="n"/>
      <c r="H14" s="20" t="n">
        <v>0</v>
      </c>
      <c r="I14" s="18" t="n"/>
      <c r="J14" s="18" t="n"/>
      <c r="K14" s="18" t="n"/>
      <c r="L14" s="18" t="n"/>
      <c r="M14" s="18" t="n"/>
      <c r="N14" s="20" t="n">
        <v>0</v>
      </c>
      <c r="O14" s="20" t="n">
        <v>0</v>
      </c>
      <c r="P14" s="18" t="n"/>
      <c r="Q14" s="18" t="n"/>
      <c r="R14" s="18" t="n"/>
      <c r="S14" s="18" t="n"/>
      <c r="T14" s="18" t="n"/>
      <c r="U14" s="20" t="n">
        <v>0</v>
      </c>
      <c r="V14" s="20" t="n">
        <v>0</v>
      </c>
      <c r="W14" s="17" t="n">
        <v>0.09193287037037036</v>
      </c>
      <c r="X14" s="18" t="n"/>
      <c r="Y14" s="18" t="n"/>
      <c r="Z14" s="18" t="n"/>
      <c r="AA14" s="18" t="n"/>
      <c r="AB14" s="20" t="n">
        <v>0</v>
      </c>
      <c r="AC14" s="20" t="n">
        <v>0</v>
      </c>
      <c r="AD14" s="18" t="n"/>
      <c r="AE14" s="17" t="n">
        <v>0.08623842592592591</v>
      </c>
      <c r="AF14" s="18" t="n"/>
      <c r="AG14" s="18" t="n"/>
      <c r="AH14" s="18" t="n"/>
      <c r="AI14" s="21">
        <f>SUM(D14:AH14)</f>
        <v/>
      </c>
      <c r="AJ14" s="21" t="n">
        <v>0.7245949074074075</v>
      </c>
      <c r="AK14" s="21">
        <f>AJ14-AI14</f>
        <v/>
      </c>
      <c r="AL14" s="16" t="n"/>
      <c r="AM14" s="21" t="n">
        <v>0.5464236111111112</v>
      </c>
      <c r="AN14" s="16" t="n"/>
      <c r="AO14" s="16" t="n"/>
    </row>
    <row r="15" ht="17" customHeight="1">
      <c r="A15" s="15" t="inlineStr">
        <is>
          <t>VILLA SIMONE</t>
        </is>
      </c>
      <c r="B15" s="16" t="inlineStr">
        <is>
          <t>WPGDEC57F91O089Z</t>
        </is>
      </c>
      <c r="C15" s="15" t="inlineStr">
        <is>
          <t>Percorso A - Fondamenti</t>
        </is>
      </c>
      <c r="D15" s="22" t="n">
        <v>0</v>
      </c>
      <c r="E15" s="22" t="n">
        <v>0</v>
      </c>
      <c r="F15" s="22" t="n">
        <v>0</v>
      </c>
      <c r="G15" s="19" t="n"/>
      <c r="H15" s="19" t="n"/>
      <c r="I15" s="18" t="n"/>
      <c r="J15" s="22" t="n">
        <v>0</v>
      </c>
      <c r="K15" s="22" t="n">
        <v>0</v>
      </c>
      <c r="L15" s="22" t="n">
        <v>0</v>
      </c>
      <c r="M15" s="22" t="n">
        <v>0</v>
      </c>
      <c r="N15" s="19" t="n"/>
      <c r="O15" s="19" t="n"/>
      <c r="P15" s="22" t="n">
        <v>0</v>
      </c>
      <c r="Q15" s="22" t="n">
        <v>0</v>
      </c>
      <c r="R15" s="22" t="n">
        <v>0</v>
      </c>
      <c r="S15" s="22" t="n">
        <v>0</v>
      </c>
      <c r="T15" s="22" t="n">
        <v>0</v>
      </c>
      <c r="U15" s="19" t="n"/>
      <c r="V15" s="19" t="n"/>
      <c r="W15" s="18" t="n"/>
      <c r="X15" s="22" t="n">
        <v>0</v>
      </c>
      <c r="Y15" s="22" t="n">
        <v>0</v>
      </c>
      <c r="Z15" s="18" t="n"/>
      <c r="AA15" s="22" t="n">
        <v>0</v>
      </c>
      <c r="AB15" s="19" t="n"/>
      <c r="AC15" s="20" t="n">
        <v>0</v>
      </c>
      <c r="AD15" s="18" t="n"/>
      <c r="AE15" s="22" t="n">
        <v>0</v>
      </c>
      <c r="AF15" s="22" t="n">
        <v>0</v>
      </c>
      <c r="AG15" s="22" t="n">
        <v>0</v>
      </c>
      <c r="AH15" s="22" t="n">
        <v>0</v>
      </c>
      <c r="AI15" s="21">
        <f>SUM(D15:AH15)</f>
        <v/>
      </c>
      <c r="AJ15" s="21" t="n">
        <v>1.183113425925926</v>
      </c>
      <c r="AK15" s="21">
        <f>AJ15-AI15</f>
        <v/>
      </c>
      <c r="AL15" s="16" t="n"/>
      <c r="AM15" s="21" t="n">
        <v>0.08267361111111111</v>
      </c>
      <c r="AN15" s="21" t="n">
        <v>1.100439814814815</v>
      </c>
      <c r="AO15" s="16" t="n"/>
    </row>
    <row r="16" ht="18" customHeight="1">
      <c r="A16" s="25" t="inlineStr">
        <is>
          <t>TOTAL</t>
        </is>
      </c>
      <c r="B16" s="10" t="n"/>
      <c r="C16" s="10" t="n"/>
      <c r="AI16" s="26">
        <f>SUM(AI4:AI15)</f>
        <v/>
      </c>
      <c r="AJ16" s="26">
        <f>SUM(AJ4:AJ15)</f>
        <v/>
      </c>
      <c r="AK16" s="26">
        <f>SUM(AK4:AK15)</f>
        <v/>
      </c>
      <c r="AL16" s="26">
        <f>SUM(AL4:AL15)</f>
        <v/>
      </c>
      <c r="AM16" s="26">
        <f>SUM(AM4:AM15)</f>
        <v/>
      </c>
      <c r="AN16" s="26">
        <f>SUM(AN4:AN15)</f>
        <v/>
      </c>
      <c r="AO16" s="26">
        <f>SUM(AO4:AO15)</f>
        <v/>
      </c>
    </row>
  </sheetData>
  <mergeCells count="1">
    <mergeCell ref="A1:AO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2026-08-26T10:50:33Z</dcterms:created>
  <dcterms:modified xmlns:dcterms="http://purl.org/dc/terms/" xmlns:xsi="http://www.w3.org/2001/XMLSchema-instance" xsi:type="dcterms:W3CDTF">2026-08-26T10:50:34Z</dcterms:modified>
</cp:coreProperties>
</file>
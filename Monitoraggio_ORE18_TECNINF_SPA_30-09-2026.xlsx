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 Generale" sheetId="1" state="visible" r:id="rId1"/>
    <sheet xmlns:r="http://schemas.openxmlformats.org/officeDocument/2006/relationships" name="Aprile 2026" sheetId="2" state="visible" r:id="rId2"/>
    <sheet xmlns:r="http://schemas.openxmlformats.org/officeDocument/2006/relationships" name="Maggio 2026" sheetId="3" state="visible" r:id="rId3"/>
    <sheet xmlns:r="http://schemas.openxmlformats.org/officeDocument/2006/relationships" name="Giugno 2026" sheetId="4" state="visible" r:id="rId4"/>
    <sheet xmlns:r="http://schemas.openxmlformats.org/officeDocument/2006/relationships" name="Luglio 2026" sheetId="5" state="visible" r:id="rId5"/>
    <sheet xmlns:r="http://schemas.openxmlformats.org/officeDocument/2006/relationships" name="Agosto 2026" sheetId="6" state="visible" r:id="rId6"/>
    <sheet xmlns:r="http://schemas.openxmlformats.org/officeDocument/2006/relationships" name="Settembre 2026" sheetId="7" state="visible" r:id="rId7"/>
    <sheet xmlns:r="http://schemas.openxmlformats.org/officeDocument/2006/relationships" name="Dettaglio - Big Data" sheetId="8" state="visible" r:id="rId8"/>
    <sheet xmlns:r="http://schemas.openxmlformats.org/officeDocument/2006/relationships" name="Dettaglio - L'ufficio digitale" sheetId="9" state="visible" r:id="rId9"/>
    <sheet xmlns:r="http://schemas.openxmlformats.org/officeDocument/2006/relationships" name="Dettaglio - La programmazione" sheetId="10" state="visible" r:id="rId10"/>
    <sheet xmlns:r="http://schemas.openxmlformats.org/officeDocument/2006/relationships" name="Dettaglio - Project Management" sheetId="11" state="visible" r:id="rId11"/>
    <sheet xmlns:r="http://schemas.openxmlformats.org/officeDocument/2006/relationships" name="Dettaglio - Sicurezza Inform.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hh]:mm:ss"/>
    <numFmt numFmtId="165" formatCode="#,##0.00&quot; €&quot;"/>
  </numFmts>
  <fonts count="10">
    <font>
      <name val="Calibri"/>
      <family val="2"/>
      <color theme="1"/>
      <sz val="11"/>
      <scheme val="minor"/>
    </font>
    <font>
      <name val="Arial"/>
      <b val="1"/>
      <color rgb="002C3E50"/>
      <sz val="12"/>
    </font>
    <font>
      <name val="Arial"/>
      <b val="1"/>
      <color rgb="00495057"/>
      <sz val="9"/>
    </font>
    <font>
      <name val="Arial"/>
      <b val="1"/>
      <color rgb="00495057"/>
      <sz val="8"/>
    </font>
    <font>
      <name val="Arial"/>
      <color rgb="00333333"/>
      <sz val="9"/>
    </font>
    <font>
      <name val="Arial"/>
      <color rgb="00333333"/>
      <sz val="8"/>
    </font>
    <font>
      <name val="Arial"/>
      <b val="1"/>
      <color rgb="00333333"/>
      <sz val="10"/>
    </font>
    <font>
      <name val="Arial"/>
      <b val="1"/>
      <color rgb="00333333"/>
      <sz val="9"/>
    </font>
    <font>
      <name val="Arial"/>
      <color rgb="00333333"/>
      <sz val="10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ECF0F4"/>
      </patternFill>
    </fill>
    <fill>
      <patternFill patternType="solid">
        <fgColor rgb="00F4F5F7"/>
      </patternFill>
    </fill>
    <fill>
      <patternFill patternType="solid">
        <fgColor rgb="00F2F2F2"/>
      </patternFill>
    </fill>
    <fill>
      <patternFill patternType="solid">
        <fgColor rgb="00F0F6EC"/>
      </patternFill>
    </fill>
    <fill>
      <patternFill patternType="solid">
        <fgColor rgb="00F2E8EE"/>
      </patternFill>
    </fill>
    <fill>
      <patternFill patternType="solid">
        <fgColor rgb="00F1F3F5"/>
      </patternFill>
    </fill>
    <fill>
      <patternFill patternType="solid">
        <fgColor rgb="00E8EFF5"/>
      </patternFill>
    </fill>
    <fill>
      <patternFill patternType="solid">
        <fgColor rgb="00FAE6E6"/>
      </patternFill>
    </fill>
    <fill>
      <patternFill patternType="solid">
        <fgColor rgb="00FBEAD8"/>
      </patternFill>
    </fill>
  </fills>
  <borders count="2">
    <border>
      <left/>
      <right/>
      <top/>
      <bottom/>
      <diagonal/>
    </border>
    <border>
      <top style="thin">
        <color rgb="00BDC3C7"/>
      </top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46" fontId="8" fillId="0" borderId="0" applyAlignment="1" pivotButton="0" quotePrefix="0" xfId="0">
      <alignment horizontal="center" vertical="center"/>
    </xf>
    <xf numFmtId="9" fontId="8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9" fillId="0" borderId="0" pivotButton="0" quotePrefix="0" xfId="0"/>
    <xf numFmtId="46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46" fontId="5" fillId="5" borderId="0" applyAlignment="1" pivotButton="0" quotePrefix="0" xfId="0">
      <alignment horizontal="center" vertical="center"/>
    </xf>
    <xf numFmtId="46" fontId="4" fillId="0" borderId="0" applyAlignment="1" pivotButton="0" quotePrefix="0" xfId="0">
      <alignment horizontal="center" vertical="center"/>
    </xf>
    <xf numFmtId="46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 wrapText="1"/>
    </xf>
    <xf numFmtId="0" fontId="0" fillId="7" borderId="0" pivotButton="0" quotePrefix="0" xfId="0"/>
    <xf numFmtId="46" fontId="7" fillId="7" borderId="1" applyAlignment="1" pivotButton="0" quotePrefix="0" xfId="0">
      <alignment horizontal="center" vertical="center"/>
    </xf>
    <xf numFmtId="46" fontId="5" fillId="8" borderId="0" applyAlignment="1" pivotButton="0" quotePrefix="0" xfId="0">
      <alignment horizontal="center" vertical="center"/>
    </xf>
    <xf numFmtId="46" fontId="5" fillId="9" borderId="0" applyAlignment="1" pivotButton="0" quotePrefix="0" xfId="0">
      <alignment horizontal="center" vertical="center"/>
    </xf>
    <xf numFmtId="46" fontId="5" fillId="1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9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Monitoring</author>
  </authors>
  <commentList>
    <comment ref="J2" authorId="0" shapeId="0">
      <text>
        <t>Somma delle ore effettive mensili (formule dai fogli mese).</t>
      </text>
    </comment>
    <comment ref="K2" authorId="0" shapeId="0">
      <text>
        <t>Somma degli eccessi mensili (weekend + dopo soglia serale + mattutino + oltre cap 8h/giorno).</t>
      </text>
    </comment>
    <comment ref="L2" authorId="0" shapeId="0">
      <text>
        <t>% COPERTURA NON compensativa = MIN((Ore Maturate in ore) / 75, somma_cappata / somma_attese), cappata al 100%. somma_cappata = SUM delle % Dettaglio del percorso del discente * rispettive attese: il 100% scatta solo se TUTTI i corsi attesi sono al 100%. Formula: =IF(75=0,0,MIN((D*24)/150,1)).</t>
      </text>
    </comment>
    <comment ref="M2" authorId="0" shapeId="0">
      <text>
        <t>Titoli dei corsi del percorso del discente INIZIATI (ore &gt; 0) e NON al 100% (stessi titoli canonici delle intestazioni dei fogli 'Dettaglio - &lt;base&gt;', testo statico senza formule).</t>
      </text>
    </comment>
    <comment ref="N2" authorId="0" shapeId="0">
      <text>
        <t>Costo orario retributivo del discente, dal file costi aziendale.
'N/D' se il Codice Fiscale non e' presente nel file costi.</t>
      </text>
    </comment>
    <comment ref="O2" authorId="0" shapeId="0">
      <text>
        <t>Costo orario contributivo del discente, dal file costi aziendale.
'N/D' se il Codice Fiscale non e' presente nel file costi.</t>
      </text>
    </comment>
    <comment ref="P2" authorId="0" shapeId="0">
      <text>
        <t>Finanziamento = (Quota 80% + Costo orario Contributivo) * MIN(Ore Maturate, 75).</t>
      </text>
    </comment>
  </commentList>
</comments>
</file>

<file path=xl/comments/comment2.xml><?xml version="1.0" encoding="utf-8"?>
<comments xmlns="http://schemas.openxmlformats.org/spreadsheetml/2006/main">
  <authors>
    <author>Monitoring</author>
  </authors>
  <commentList>
    <comment ref="AH3" authorId="0" shapeId="0">
      <text>
        <t>Somma delle ore effettive del mese
(= ore totali fruite - ore in eccesso).
Coincide con la somma delle celle giornaliere.</t>
      </text>
    </comment>
    <comment ref="AI3" authorId="0" shapeId="0">
      <text>
        <t>Somma delle ore totali fruite nel mese (effettive + eccesso).</t>
      </text>
    </comment>
    <comment ref="AJ3" authorId="0" shapeId="0">
      <text>
        <t>Ore totali in eccesso del mese
(= Ore Totali - Totale Ore Effettive).
Comprende eccesso weekend, dopo soglia serale, mattutino
e oltre cap 8h/giorno.</t>
      </text>
    </comment>
    <comment ref="AG7" authorId="0" shapeId="0">
      <text>
        <t>Ore totali: 02:59:37
Eccesso: 00:35:56
- Dopo le 18:00: 00:35:56</t>
      </text>
    </comment>
    <comment ref="AE34" authorId="0" shapeId="0">
      <text>
        <t>Ore totali: 00:01:00
Eccesso: 00:00:25
- Dopo le 18:00: 00:00:25</t>
      </text>
    </comment>
    <comment ref="AG34" authorId="0" shapeId="0">
      <text>
        <t>Ore totali: 00:46:10
Eccesso: 00:46:10
- Dopo le 18:00: 00:46:10</t>
      </text>
    </comment>
  </commentList>
</comments>
</file>

<file path=xl/comments/comment3.xml><?xml version="1.0" encoding="utf-8"?>
<comments xmlns="http://schemas.openxmlformats.org/spreadsheetml/2006/main">
  <authors>
    <author>Monitoring</author>
  </authors>
  <commentList>
    <comment ref="AI3" authorId="0" shapeId="0">
      <text>
        <t>Somma delle ore effettive del mese
(= ore totali fruite - ore in eccesso).
Coincide con la somma delle celle giornaliere.</t>
      </text>
    </comment>
    <comment ref="AJ3" authorId="0" shapeId="0">
      <text>
        <t>Somma delle ore totali fruite nel mese (effettive + eccesso).</t>
      </text>
    </comment>
    <comment ref="AK3" authorId="0" shapeId="0">
      <text>
        <t>Ore totali in eccesso del mese
(= Ore Totali - Totale Ore Effettive).
Comprende eccesso weekend, dopo soglia serale, mattutino
e oltre cap 8h/giorno.</t>
      </text>
    </comment>
    <comment ref="I7" authorId="0" shapeId="0">
      <text>
        <t>Ore totali: 02:04:33
Eccesso: 00:31:46
- Mattutino (06:00-07:40): 00:31:46</t>
      </text>
    </comment>
    <comment ref="N7" authorId="0" shapeId="0">
      <text>
        <t>Ore totali: 00:54:47
Eccesso: 00:11:14
- Dopo le 18:00: 00:11:14</t>
      </text>
    </comment>
    <comment ref="V7" authorId="0" shapeId="0">
      <text>
        <t>Ore totali: 02:05:56
Eccesso: 00:01:00
- Mattutino (06:00-07:40): 00:01:00</t>
      </text>
    </comment>
    <comment ref="W7" authorId="0" shapeId="0">
      <text>
        <t>Ore totali: 05:09:31
Eccesso: 00:38:23
- Dopo le 18:00: 00:30:16
- Mattutino (06:00-07:40): 00:08:07</t>
      </text>
    </comment>
    <comment ref="X7" authorId="0" shapeId="0">
      <text>
        <t>Ore totali: 03:32:18
Eccesso: 00:29:11
- Dopo le 18:00: 00:26:56
- Mattutino (06:00-07:40): 00:02:15</t>
      </text>
    </comment>
    <comment ref="AF7" authorId="0" shapeId="0">
      <text>
        <t>Ore totali: 00:58:27
Eccesso: 00:02:19
- Mattutino (06:00-07:40): 00:02:19</t>
      </text>
    </comment>
    <comment ref="H14" authorId="0" shapeId="0">
      <text>
        <t>Ore totali: 00:43:24
Eccesso: 00:19:52
- Dopo le 18:00: 00:19:52</t>
      </text>
    </comment>
    <comment ref="J14" authorId="0" shapeId="0">
      <text>
        <t>Ore totali: 02:48:26
Eccesso: 00:24:38
- Dopo le 18:00: 00:24:38</t>
      </text>
    </comment>
    <comment ref="N14" authorId="0" shapeId="0">
      <text>
        <t>Ore totali: 01:10:05
Eccesso: 00:10:21
- Dopo le 18:00: 00:10:21</t>
      </text>
    </comment>
    <comment ref="AB20" authorId="0" shapeId="0">
      <text>
        <t>Ore totali: 01:10:39
Eccesso: 00:29:03
- Dopo le 18:00: 00:29:03</t>
      </text>
    </comment>
    <comment ref="J24" authorId="0" shapeId="0">
      <text>
        <t>Ore totali: 00:14:27
Eccesso: 00:02:15
- Dopo le 18:00: 00:02:15</t>
      </text>
    </comment>
    <comment ref="G27" authorId="0" shapeId="0">
      <text>
        <t>Ore totali: 03:13:17
Eccesso: 03:01:09
- Dopo le 18:00: 03:01:09</t>
      </text>
    </comment>
    <comment ref="H27" authorId="0" shapeId="0">
      <text>
        <t>Ore totali: 03:25:33
Eccesso: 00:47:44
- Dopo le 18:00: 00:47:44</t>
      </text>
    </comment>
    <comment ref="P27" authorId="0" shapeId="0">
      <text>
        <t>Ore totali: 02:46:32
Eccesso: 00:00:53
- Dopo le 18:00: 00:00:53</t>
      </text>
    </comment>
    <comment ref="V27" authorId="0" shapeId="0">
      <text>
        <t>Ore totali: 04:16:29
Eccesso: 00:00:51
- Dopo le 18:00: 00:00:51</t>
      </text>
    </comment>
    <comment ref="R28" authorId="0" shapeId="0">
      <text>
        <t>Ore totali: 03:55:16
Eccesso: 00:00:17
- Dopo le 18:00: 00:00:17</t>
      </text>
    </comment>
  </commentList>
</comments>
</file>

<file path=xl/comments/comment4.xml><?xml version="1.0" encoding="utf-8"?>
<comments xmlns="http://schemas.openxmlformats.org/spreadsheetml/2006/main">
  <authors>
    <author>Monitoring</author>
  </authors>
  <commentList>
    <comment ref="AH3" authorId="0" shapeId="0">
      <text>
        <t>Somma delle ore effettive del mese
(= ore totali fruite - ore in eccesso).
Coincide con la somma delle celle giornaliere.</t>
      </text>
    </comment>
    <comment ref="AI3" authorId="0" shapeId="0">
      <text>
        <t>Somma delle ore totali fruite nel mese (effettive + eccesso).</t>
      </text>
    </comment>
    <comment ref="AJ3" authorId="0" shapeId="0">
      <text>
        <t>Ore totali in eccesso del mese
(= Ore Totali - Totale Ore Effettive).
Comprende eccesso weekend, dopo soglia serale, mattutino
e oltre cap 8h/giorno.</t>
      </text>
    </comment>
    <comment ref="T6" authorId="0" shapeId="0">
      <text>
        <t>Ore totali: 01:52:05
Eccesso: 00:03:06
- Dopo le 18:00: 00:03:06</t>
      </text>
    </comment>
    <comment ref="AB6" authorId="0" shapeId="0">
      <text>
        <t>Ore totali: 02:18:05
Eccesso: 00:00:20
- Dopo le 18:00: 00:00:20</t>
      </text>
    </comment>
    <comment ref="AC6" authorId="0" shapeId="0">
      <text>
        <t>Ore totali: 01:06:39
Eccesso: 00:12:04
- Dopo le 18:00: 00:12:04</t>
      </text>
    </comment>
    <comment ref="G7" authorId="0" shapeId="0">
      <text>
        <t>Ore totali: 01:42:15
Eccesso: 00:49:23
- Dopo le 18:00: 00:34:25
- Mattutino (06:00-07:40): 00:14:58</t>
      </text>
    </comment>
    <comment ref="M7" authorId="0" shapeId="0">
      <text>
        <t>Ore totali: 01:29:47
Eccesso: 00:29:00
- Mattutino (06:00-07:40): 00:29:00</t>
      </text>
    </comment>
    <comment ref="N11" authorId="0" shapeId="0">
      <text>
        <t>Ore totali: 00:56:08
Eccesso: 00:04:43
- Dopo le 18:00: 00:04:43</t>
      </text>
    </comment>
    <comment ref="F13" authorId="0" shapeId="0">
      <text>
        <t>Ore totali: 06:29:53
Eccesso: 00:00:24
- Dopo le 18:00: 00:00:24</t>
      </text>
    </comment>
    <comment ref="U13" authorId="0" shapeId="0">
      <text>
        <t>Ore totali: 03:01:29
Eccesso: 00:06:33
- Dopo le 18:00: 00:06:33</t>
      </text>
    </comment>
    <comment ref="H14" authorId="0" shapeId="0">
      <text>
        <t>Ore totali: 01:07:55
Eccesso: 00:03:36
- Dopo le 18:00: 00:03:36</t>
      </text>
    </comment>
    <comment ref="N14" authorId="0" shapeId="0">
      <text>
        <t>Ore totali: 04:51:48
Eccesso: 01:30:22
- Dopo le 18:00: 01:30:22</t>
      </text>
    </comment>
    <comment ref="R14" authorId="0" shapeId="0">
      <text>
        <t>Ore totali: 02:41:47
Eccesso: 00:26:21
- Dopo le 18:00: 00:26:21</t>
      </text>
    </comment>
    <comment ref="S14" authorId="0" shapeId="0">
      <text>
        <t>Ore totali: 03:00:03
Eccesso: 00:00:14
- Dopo le 18:00: 00:00:14</t>
      </text>
    </comment>
    <comment ref="D27" authorId="0" shapeId="0">
      <text>
        <t>Ore totali: 02:39:00
Eccesso: 00:00:41
- Dopo le 18:00: 00:00:41</t>
      </text>
    </comment>
    <comment ref="H27" authorId="0" shapeId="0">
      <text>
        <t>Ore totali: 01:04:59
Eccesso: 00:02:57
- Dopo le 18:00: 00:02:57</t>
      </text>
    </comment>
    <comment ref="Z33" authorId="0" shapeId="0">
      <text>
        <t>Ore totali: 04:17:20
Eccesso: 00:05:36
- Dopo le 18:00: 00:05:36</t>
      </text>
    </comment>
  </commentList>
</comments>
</file>

<file path=xl/comments/comment5.xml><?xml version="1.0" encoding="utf-8"?>
<comments xmlns="http://schemas.openxmlformats.org/spreadsheetml/2006/main">
  <authors>
    <author>Monitoring</author>
  </authors>
  <commentList>
    <comment ref="AI3" authorId="0" shapeId="0">
      <text>
        <t>Somma delle ore effettive del mese
(= ore totali fruite - ore in eccesso).
Coincide con la somma delle celle giornaliere.</t>
      </text>
    </comment>
    <comment ref="AJ3" authorId="0" shapeId="0">
      <text>
        <t>Somma delle ore totali fruite nel mese (effettive + eccesso).</t>
      </text>
    </comment>
    <comment ref="AK3" authorId="0" shapeId="0">
      <text>
        <t>Ore totali in eccesso del mese
(= Ore Totali - Totale Ore Effettive).
Comprende eccesso weekend, dopo soglia serale, mattutino
e oltre cap 8h/giorno.</t>
      </text>
    </comment>
    <comment ref="Y5" authorId="0" shapeId="0">
      <text>
        <t>Ore totali: 05:36:35
Eccesso: 00:23:36
- Dopo le 18:00: 00:23:36</t>
      </text>
    </comment>
    <comment ref="Z5" authorId="0" shapeId="0">
      <text>
        <t>Ore totali: 06:11:43
Eccesso: 00:03:57
- Dopo le 18:00: 00:03:57</t>
      </text>
    </comment>
    <comment ref="AA5" authorId="0" shapeId="0">
      <text>
        <t>Ore totali: 04:52:26
Eccesso: 00:13:28
- Dopo le 18:00: 00:13:28</t>
      </text>
    </comment>
    <comment ref="AG5" authorId="0" shapeId="0">
      <text>
        <t>Ore totali: 05:05:22
Eccesso: 00:00:36
- Dopo le 18:00: 00:00:36</t>
      </text>
    </comment>
    <comment ref="AH5" authorId="0" shapeId="0">
      <text>
        <t>Ore totali: 04:48:22
Eccesso: 00:02:02
- Dopo le 18:00: 00:02:02</t>
      </text>
    </comment>
    <comment ref="D6" authorId="0" shapeId="0">
      <text>
        <t>Ore totali: 02:18:05
Eccesso: 00:05:11
- Dopo le 18:00: 00:05:11</t>
      </text>
    </comment>
    <comment ref="X6" authorId="0" shapeId="0">
      <text>
        <t>Ore totali: 02:00:52
Eccesso: 00:00:54
- Dopo le 18:00: 00:00:54</t>
      </text>
    </comment>
    <comment ref="AB6" authorId="0" shapeId="0">
      <text>
        <t>Ore totali: 01:11:16
Eccesso: 01:11:16
- Weekend: 01:11:16</t>
      </text>
    </comment>
    <comment ref="AC6" authorId="0" shapeId="0">
      <text>
        <t>Ore totali: 01:02:26
Eccesso: 01:02:26
- Weekend: 01:02:26</t>
      </text>
    </comment>
    <comment ref="I9" authorId="0" shapeId="0">
      <text>
        <t>Ore totali: 01:33:18
Eccesso: 00:00:16
- Dopo le 18:00: 00:00:16</t>
      </text>
    </comment>
    <comment ref="K9" authorId="0" shapeId="0">
      <text>
        <t>Ore totali: 02:42:20
Eccesso: 00:00:40
- Dopo le 18:00: 00:00:40</t>
      </text>
    </comment>
    <comment ref="Q9" authorId="0" shapeId="0">
      <text>
        <t>Ore totali: 02:31:20
Eccesso: 00:00:44
- Dopo le 18:00: 00:00:44</t>
      </text>
    </comment>
    <comment ref="Z9" authorId="0" shapeId="0">
      <text>
        <t>Ore totali: 06:20:38
Eccesso: 00:58:11
- Dopo le 18:00: 00:58:11</t>
      </text>
    </comment>
    <comment ref="D13" authorId="0" shapeId="0">
      <text>
        <t>Ore totali: 04:41:49
Eccesso: 00:04:47
- Dopo le 18:00: 00:04:47</t>
      </text>
    </comment>
    <comment ref="E13" authorId="0" shapeId="0">
      <text>
        <t>Ore totali: 04:50:05
Eccesso: 00:07:19
- Dopo le 18:00: 00:07:19</t>
      </text>
    </comment>
    <comment ref="W13" authorId="0" shapeId="0">
      <text>
        <t>Ore totali: 05:45:28
Eccesso: 00:01:49
- Dopo le 18:00: 00:01:49</t>
      </text>
    </comment>
    <comment ref="AA13" authorId="0" shapeId="0">
      <text>
        <t>Ore totali: 02:37:07
Eccesso: 00:04:07
- Dopo le 18:00: 00:04:07</t>
      </text>
    </comment>
    <comment ref="W27" authorId="0" shapeId="0">
      <text>
        <t>Ore totali: 03:51:31
Eccesso: 00:01:08
- Dopo le 18:00: 00:01:08</t>
      </text>
    </comment>
    <comment ref="Z27" authorId="0" shapeId="0">
      <text>
        <t>Ore totali: 03:44:30
Eccesso: 00:00:56
- Dopo le 18:00: 00:00:56</t>
      </text>
    </comment>
    <comment ref="AD27" authorId="0" shapeId="0">
      <text>
        <t>Ore totali: 02:15:42
Eccesso: 00:02:31
- Dopo le 18:00: 00:02:31</t>
      </text>
    </comment>
    <comment ref="AD29" authorId="0" shapeId="0">
      <text>
        <t>Ore totali: 02:32:21
Eccesso: 00:00:07
- Dopo le 18:00: 00:00:07</t>
      </text>
    </comment>
    <comment ref="AA30" authorId="0" shapeId="0">
      <text>
        <t>Ore totali: 03:00:48
Eccesso: 00:26:16
- Dopo le 18:00: 00:26:16</t>
      </text>
    </comment>
    <comment ref="AG30" authorId="0" shapeId="0">
      <text>
        <t>Ore totali: 01:39:27
Eccesso: 00:11:20
- Dopo le 18:00: 00:11:20</t>
      </text>
    </comment>
    <comment ref="Y33" authorId="0" shapeId="0">
      <text>
        <t>Ore totali: 03:16:01
Eccesso: 00:02:19
- Dopo le 18:00: 00:02:19</t>
      </text>
    </comment>
    <comment ref="AH33" authorId="0" shapeId="0">
      <text>
        <t>Ore totali: 03:14:04
Eccesso: 00:02:54
- Dopo le 18:00: 00:02:54</t>
      </text>
    </comment>
    <comment ref="T36" authorId="0" shapeId="0">
      <text>
        <t>Ore totali: 05:50:44
Eccesso: 00:00:11
- Dopo le 18:00: 00:00:11</t>
      </text>
    </comment>
    <comment ref="AH36" authorId="0" shapeId="0">
      <text>
        <t>Ore totali: 08:05:28
Eccesso: 00:05:28
- Oltre cap 8h/giorno: 00:05:28</t>
      </text>
    </comment>
  </commentList>
</comments>
</file>

<file path=xl/comments/comment6.xml><?xml version="1.0" encoding="utf-8"?>
<comments xmlns="http://schemas.openxmlformats.org/spreadsheetml/2006/main">
  <authors>
    <author>Monitoring</author>
  </authors>
  <commentList>
    <comment ref="AI3" authorId="0" shapeId="0">
      <text>
        <t>Somma delle ore effettive del mese
(= ore totali fruite - ore in eccesso).
Coincide con la somma delle celle giornaliere.</t>
      </text>
    </comment>
    <comment ref="AJ3" authorId="0" shapeId="0">
      <text>
        <t>Somma delle ore totali fruite nel mese (effettive + eccesso).</t>
      </text>
    </comment>
    <comment ref="AK3" authorId="0" shapeId="0">
      <text>
        <t>Ore totali in eccesso del mese
(= Ore Totali - Totale Ore Effettive).
Comprende eccesso weekend, dopo soglia serale, mattutino
e oltre cap 8h/giorno.</t>
      </text>
    </comment>
    <comment ref="F5" authorId="0" shapeId="0">
      <text>
        <t>Ore totali: 06:33:40
Eccesso: 00:06:04
- Dopo le 18:00: 00:06:04</t>
      </text>
    </comment>
    <comment ref="H6" authorId="0" shapeId="0">
      <text>
        <t>Ore totali: 03:25:04
Eccesso: 01:30:19
- Dopo le 18:00: 01:30:19</t>
      </text>
    </comment>
    <comment ref="X7" authorId="0" shapeId="0">
      <text>
        <t>Ore totali: 01:28:25
Eccesso: 00:00:25
- Mattutino (06:00-07:40): 00:00:25</t>
      </text>
    </comment>
    <comment ref="AB7" authorId="0" shapeId="0">
      <text>
        <t>Ore totali: 04:05:07
Eccesso: 00:09:34
- Dopo le 18:00: 00:09:34</t>
      </text>
    </comment>
    <comment ref="W9" authorId="0" shapeId="0">
      <text>
        <t>Ore totali: 05:23:33
Eccesso: 00:03:07
- Dopo le 18:00: 00:03:07</t>
      </text>
    </comment>
    <comment ref="X9" authorId="0" shapeId="0">
      <text>
        <t>Ore totali: 05:06:10
Eccesso: 00:03:57
- Dopo le 18:00: 00:03:57</t>
      </text>
    </comment>
    <comment ref="AB9" authorId="0" shapeId="0">
      <text>
        <t>Ore totali: 05:53:30
Eccesso: 00:04:29
- Dopo le 18:00: 00:04:29</t>
      </text>
    </comment>
    <comment ref="P11" authorId="0" shapeId="0">
      <text>
        <t>Ore totali: 01:50:16
Eccesso: 01:41:22
- Dopo le 18:00: 01:41:22</t>
      </text>
    </comment>
    <comment ref="R11" authorId="0" shapeId="0">
      <text>
        <t>Ore totali: 03:02:14
Eccesso: 03:02:14
- Weekend: 03:02:14</t>
      </text>
    </comment>
    <comment ref="S11" authorId="0" shapeId="0">
      <text>
        <t>Ore totali: 01:52:48
Eccesso: 01:52:48
- Weekend: 01:52:48</t>
      </text>
    </comment>
    <comment ref="U11" authorId="0" shapeId="0">
      <text>
        <t>Ore totali: 00:14:15
Eccesso: 00:14:15
- Dopo le 18:00: 00:14:15</t>
      </text>
    </comment>
    <comment ref="Y11" authorId="0" shapeId="0">
      <text>
        <t>Ore totali: 02:48:33
Eccesso: 02:48:33
- Weekend: 02:48:33</t>
      </text>
    </comment>
    <comment ref="AA11" authorId="0" shapeId="0">
      <text>
        <t>Ore totali: 03:30:12
Eccesso: 00:48:23
- Dopo le 18:00: 00:48:23</t>
      </text>
    </comment>
    <comment ref="AC11" authorId="0" shapeId="0">
      <text>
        <t>Ore totali: 05:31:47
Eccesso: 00:06:54
- Dopo le 18:00: 00:06:54</t>
      </text>
    </comment>
    <comment ref="AE11" authorId="0" shapeId="0">
      <text>
        <t>Ore totali: 08:36:08
Eccesso: 00:36:08
- Dopo le 18:00: 00:08:03
- Oltre cap 8h/giorno: 00:28:05</t>
      </text>
    </comment>
    <comment ref="J20" authorId="0" shapeId="0">
      <text>
        <t>Ore totali: 02:36:35
Eccesso: 00:09:42
- Dopo le 18:00: 00:09:42</t>
      </text>
    </comment>
    <comment ref="N20" authorId="0" shapeId="0">
      <text>
        <t>Ore totali: 00:56:30
Eccesso: 00:13:27
- Dopo le 18:00: 00:13:27</t>
      </text>
    </comment>
    <comment ref="AB20" authorId="0" shapeId="0">
      <text>
        <t>Ore totali: 01:10:24
Eccesso: 00:14:43
- Dopo le 18:00: 00:14:43</t>
      </text>
    </comment>
    <comment ref="Q22" authorId="0" shapeId="0">
      <text>
        <t>Ore totali: 03:03:08
Eccesso: 00:06:39
- Dopo le 18:00: 00:06:39</t>
      </text>
    </comment>
    <comment ref="T22" authorId="0" shapeId="0">
      <text>
        <t>Ore totali: 05:35:13
Eccesso: 00:14:37
- Dopo le 18:00: 00:14:37</t>
      </text>
    </comment>
    <comment ref="U24" authorId="0" shapeId="0">
      <text>
        <t>Ore totali: 02:46:59
Eccesso: 00:01:25
- Dopo le 18:00: 00:01:25</t>
      </text>
    </comment>
    <comment ref="W24" authorId="0" shapeId="0">
      <text>
        <t>Ore totali: 03:32:03
Eccesso: 00:03:17
- Dopo le 18:00: 00:03:17</t>
      </text>
    </comment>
    <comment ref="AH24" authorId="0" shapeId="0">
      <text>
        <t>Ore totali: 01:46:40
Eccesso: 00:03:05
- Dopo le 18:00: 00:03:05</t>
      </text>
    </comment>
    <comment ref="W25" authorId="0" shapeId="0">
      <text>
        <t>Ore totali: 03:05:16
Eccesso: 00:23:17
- Dopo le 18:00: 00:23:17</t>
      </text>
    </comment>
    <comment ref="X25" authorId="0" shapeId="0">
      <text>
        <t>Ore totali: 01:25:50
Eccesso: 00:05:01
- Dopo le 18:00: 00:05:01</t>
      </text>
    </comment>
    <comment ref="AC25" authorId="0" shapeId="0">
      <text>
        <t>Ore totali: 03:08:17
Eccesso: 00:05:05
- Dopo le 18:00: 00:05:05</t>
      </text>
    </comment>
    <comment ref="AD25" authorId="0" shapeId="0">
      <text>
        <t>Ore totali: 03:11:42
Eccesso: 00:02:31
- Dopo le 18:00: 00:02:31</t>
      </text>
    </comment>
    <comment ref="AH25" authorId="0" shapeId="0">
      <text>
        <t>Ore totali: 01:37:48
Eccesso: 00:06:53
- Dopo le 18:00: 00:06:53</t>
      </text>
    </comment>
    <comment ref="I27" authorId="0" shapeId="0">
      <text>
        <t>Ore totali: 04:20:44
Eccesso: 00:06:52
- Dopo le 18:00: 00:06:52</t>
      </text>
    </comment>
    <comment ref="J27" authorId="0" shapeId="0">
      <text>
        <t>Ore totali: 04:27:51
Eccesso: 00:03:57
- Dopo le 18:00: 00:03:57</t>
      </text>
    </comment>
    <comment ref="M27" authorId="0" shapeId="0">
      <text>
        <t>Ore totali: 04:26:30
Eccesso: 00:02:55
- Dopo le 18:00: 00:02:55</t>
      </text>
    </comment>
    <comment ref="N27" authorId="0" shapeId="0">
      <text>
        <t>Ore totali: 02:08:10
Eccesso: 00:09:41
- Dopo le 18:00: 00:09:41</t>
      </text>
    </comment>
    <comment ref="T28" authorId="0" shapeId="0">
      <text>
        <t>Ore totali: 03:35:37
Eccesso: 00:02:31
- Dopo le 18:00: 00:02:31</t>
      </text>
    </comment>
    <comment ref="U28" authorId="0" shapeId="0">
      <text>
        <t>Ore totali: 04:24:16
Eccesso: 00:22:36
- Dopo le 18:00: 00:22:36</t>
      </text>
    </comment>
    <comment ref="V28" authorId="0" shapeId="0">
      <text>
        <t>Ore totali: 04:52:53
Eccesso: 00:03:18
- Dopo le 18:00: 00:03:18</t>
      </text>
    </comment>
    <comment ref="N29" authorId="0" shapeId="0">
      <text>
        <t>Ore totali: 05:39:18
Eccesso: 00:00:07
- Dopo le 18:00: 00:00:07</t>
      </text>
    </comment>
    <comment ref="P29" authorId="0" shapeId="0">
      <text>
        <t>Ore totali: 05:26:04
Eccesso: 00:00:10
- Dopo le 18:00: 00:00:10</t>
      </text>
    </comment>
    <comment ref="T29" authorId="0" shapeId="0">
      <text>
        <t>Ore totali: 05:56:02
Eccesso: 00:01:52
- Dopo le 18:00: 00:01:52</t>
      </text>
    </comment>
    <comment ref="V29" authorId="0" shapeId="0">
      <text>
        <t>Ore totali: 04:35:29
Eccesso: 00:03:29
- Dopo le 18:00: 00:03:29</t>
      </text>
    </comment>
    <comment ref="W29" authorId="0" shapeId="0">
      <text>
        <t>Ore totali: 05:39:03
Eccesso: 00:09:42
- Dopo le 18:00: 00:09:42</t>
      </text>
    </comment>
    <comment ref="X29" authorId="0" shapeId="0">
      <text>
        <t>Ore totali: 06:17:09
Eccesso: 00:07:59
- Dopo le 18:00: 00:07:59</t>
      </text>
    </comment>
    <comment ref="AA29" authorId="0" shapeId="0">
      <text>
        <t>Ore totali: 08:19:54
Eccesso: 00:19:54
- Dopo le 18:00: 00:09:02
- Oltre cap 8h/giorno: 00:10:52</t>
      </text>
    </comment>
    <comment ref="AB29" authorId="0" shapeId="0">
      <text>
        <t>Ore totali: 06:52:51
Eccesso: 00:29:29
- Dopo le 18:00: 00:29:29</t>
      </text>
    </comment>
    <comment ref="AE29" authorId="0" shapeId="0">
      <text>
        <t>Ore totali: 04:06:10
Eccesso: 00:09:10
- Dopo le 18:00: 00:09:10</t>
      </text>
    </comment>
    <comment ref="V30" authorId="0" shapeId="0">
      <text>
        <t>Ore totali: 02:34:17
Eccesso: 00:59:58
- Dopo le 18:00: 00:59:58</t>
      </text>
    </comment>
    <comment ref="W30" authorId="0" shapeId="0">
      <text>
        <t>Ore totali: 01:37:09
Eccesso: 00:44:56
- Dopo le 18:00: 00:44:56</t>
      </text>
    </comment>
    <comment ref="X30" authorId="0" shapeId="0">
      <text>
        <t>Ore totali: 03:13:59
Eccesso: 01:38:09
- Dopo le 18:00: 01:38:09</t>
      </text>
    </comment>
    <comment ref="AE30" authorId="0" shapeId="0">
      <text>
        <t>Ore totali: 03:19:15
Eccesso: 00:08:06
- Dopo le 18:00: 00:08:06</t>
      </text>
    </comment>
    <comment ref="AH30" authorId="0" shapeId="0">
      <text>
        <t>Ore totali: 01:45:55
Eccesso: 00:10:31
- Dopo le 18:00: 00:10:31</t>
      </text>
    </comment>
    <comment ref="M32" authorId="0" shapeId="0">
      <text>
        <t>Ore totali: 03:12:49
Eccesso: 00:02:38
- Dopo le 18:00: 00:02:38</t>
      </text>
    </comment>
    <comment ref="W32" authorId="0" shapeId="0">
      <text>
        <t>Ore totali: 02:32:58
Eccesso: 00:03:14
- Dopo le 18:00: 00:03:14</t>
      </text>
    </comment>
    <comment ref="W33" authorId="0" shapeId="0">
      <text>
        <t>Ore totali: 03:47:54
Eccesso: 00:00:02
- Dopo le 18:00: 00:00:02</t>
      </text>
    </comment>
    <comment ref="J34" authorId="0" shapeId="0">
      <text>
        <t>Ore totali: 00:57:29
Eccesso: 00:57:29
- Dopo le 18:00: 00:57:29</t>
      </text>
    </comment>
    <comment ref="M35" authorId="0" shapeId="0">
      <text>
        <t>Ore totali: 08:11:46
Eccesso: 00:11:46
- Dopo le 18:00: 00:02:11
- Oltre cap 8h/giorno: 00:09:35</t>
      </text>
    </comment>
    <comment ref="N35" authorId="0" shapeId="0">
      <text>
        <t>Ore totali: 08:55:36
Eccesso: 00:55:36
- Dopo le 18:00: 00:18:25
- Oltre cap 8h/giorno: 00:37:11</t>
      </text>
    </comment>
    <comment ref="P35" authorId="0" shapeId="0">
      <text>
        <t>Ore totali: 08:24:51
Eccesso: 00:24:51
- Dopo le 18:00: 00:06:27
- Oltre cap 8h/giorno: 00:18:24</t>
      </text>
    </comment>
    <comment ref="F36" authorId="0" shapeId="0">
      <text>
        <t>Ore totali: 05:05:27
Eccesso: 00:11:45
- Dopo le 18:00: 00:11:45</t>
      </text>
    </comment>
    <comment ref="I36" authorId="0" shapeId="0">
      <text>
        <t>Ore totali: 04:41:52
Eccesso: 00:00:08
- Dopo le 18:00: 00:00:08</t>
      </text>
    </comment>
    <comment ref="O36" authorId="0" shapeId="0">
      <text>
        <t>Ore totali: 05:23:50
Eccesso: 00:00:13
- Dopo le 18:00: 00:00:13</t>
      </text>
    </comment>
    <comment ref="W36" authorId="0" shapeId="0">
      <text>
        <t>Ore totali: 06:16:22
Eccesso: 00:01:31
- Dopo le 18:00: 00:01:31</t>
      </text>
    </comment>
    <comment ref="X36" authorId="0" shapeId="0">
      <text>
        <t>Ore totali: 06:38:14
Eccesso: 00:01:14
- Dopo le 18:00: 00:01:14</t>
      </text>
    </comment>
  </commentList>
</comments>
</file>

<file path=xl/comments/comment7.xml><?xml version="1.0" encoding="utf-8"?>
<comments xmlns="http://schemas.openxmlformats.org/spreadsheetml/2006/main">
  <authors>
    <author>Monitoring</author>
  </authors>
  <commentList>
    <comment ref="AH3" authorId="0" shapeId="0">
      <text>
        <t>Somma delle ore effettive del mese
(= ore totali fruite - ore in eccesso).
Coincide con la somma delle celle giornaliere.</t>
      </text>
    </comment>
    <comment ref="AI3" authorId="0" shapeId="0">
      <text>
        <t>Somma delle ore totali fruite nel mese (effettive + eccesso).</t>
      </text>
    </comment>
    <comment ref="AJ3" authorId="0" shapeId="0">
      <text>
        <t>Ore totali in eccesso del mese
(= Ore Totali - Totale Ore Effettive).
Comprende eccesso weekend, dopo soglia serale, mattutino
e oltre cap 8h/giorno.</t>
      </text>
    </comment>
    <comment ref="D9" authorId="0" shapeId="0">
      <text>
        <t>Ore totali: 06:33:00
Eccesso: 00:17:33
- Dopo le 18:00: 00:17:33</t>
      </text>
    </comment>
    <comment ref="E9" authorId="0" shapeId="0">
      <text>
        <t>Ore totali: 05:31:32
Eccesso: 00:49:59
- Dopo le 18:00: 00:49:59</t>
      </text>
    </comment>
    <comment ref="F9" authorId="0" shapeId="0">
      <text>
        <t>Ore totali: 05:19:03
Eccesso: 02:13:38
- Dopo le 18:00: 02:13:38</t>
      </text>
    </comment>
    <comment ref="J9" authorId="0" shapeId="0">
      <text>
        <t>Ore totali: 04:57:37
Eccesso: 00:30:42
- Dopo le 18:00: 00:30:42</t>
      </text>
    </comment>
    <comment ref="K9" authorId="0" shapeId="0">
      <text>
        <t>Ore totali: 03:10:38
Eccesso: 00:17:31
- Dopo le 18:00: 00:17:31</t>
      </text>
    </comment>
    <comment ref="L9" authorId="0" shapeId="0">
      <text>
        <t>Ore totali: 02:32:41
Eccesso: 00:25:29
- Dopo le 18:00: 00:25:29</t>
      </text>
    </comment>
    <comment ref="E11" authorId="0" shapeId="0">
      <text>
        <t>Ore totali: 02:26:48
Eccesso: 00:03:10
- Dopo le 18:00: 00:03:10</t>
      </text>
    </comment>
    <comment ref="J11" authorId="0" shapeId="0">
      <text>
        <t>Ore totali: 08:12:37
Eccesso: 00:36:38
- Dopo le 18:00: 00:36:38</t>
      </text>
    </comment>
    <comment ref="N11" authorId="0" shapeId="0">
      <text>
        <t>Ore totali: 03:25:49
Eccesso: 00:17:22
- Dopo le 18:00: 00:17:22</t>
      </text>
    </comment>
    <comment ref="O11" authorId="0" shapeId="0">
      <text>
        <t>Ore totali: 00:26:56
Eccesso: 00:26:56
- Weekend: 00:26:56</t>
      </text>
    </comment>
    <comment ref="Q11" authorId="0" shapeId="0">
      <text>
        <t>Ore totali: 04:23:51
Eccesso: 00:03:21
- Dopo le 18:00: 00:03:21</t>
      </text>
    </comment>
    <comment ref="S11" authorId="0" shapeId="0">
      <text>
        <t>Ore totali: 03:01:37
Eccesso: 00:10:50
- Dopo le 18:00: 00:10:50</t>
      </text>
    </comment>
    <comment ref="U11" authorId="0" shapeId="0">
      <text>
        <t>Ore totali: 02:32:38
Eccesso: 00:03:15
- Dopo le 18:00: 00:03:15</t>
      </text>
    </comment>
    <comment ref="X11" authorId="0" shapeId="0">
      <text>
        <t>Ore totali: 03:27:30
Eccesso: 00:37:43
- Dopo le 18:00: 00:37:43</t>
      </text>
    </comment>
    <comment ref="N16" authorId="0" shapeId="0">
      <text>
        <t>Ore totali: 03:40:16
Eccesso: 00:06:43
- Dopo le 18:00: 00:06:43</t>
      </text>
    </comment>
    <comment ref="U16" authorId="0" shapeId="0">
      <text>
        <t>Ore totali: 05:07:21
Eccesso: 00:20:02
- Dopo le 18:00: 00:20:02</t>
      </text>
    </comment>
    <comment ref="Y16" authorId="0" shapeId="0">
      <text>
        <t>Ore totali: 04:54:55
Eccesso: 00:00:49
- Dopo le 18:00: 00:00:49</t>
      </text>
    </comment>
    <comment ref="AF16" authorId="0" shapeId="0">
      <text>
        <t>Ore totali: 03:48:03
Eccesso: 00:05:49
- Dopo le 18:00: 00:05:49</t>
      </text>
    </comment>
    <comment ref="AE17" authorId="0" shapeId="0">
      <text>
        <t>Ore totali: 04:53:23
Eccesso: 00:00:34
- Dopo le 18:00: 00:00:34</t>
      </text>
    </comment>
    <comment ref="AF17" authorId="0" shapeId="0">
      <text>
        <t>Ore totali: 07:23:52
Eccesso: 00:08:33
- Dopo le 18:00: 00:08:33</t>
      </text>
    </comment>
    <comment ref="G18" authorId="0" shapeId="0">
      <text>
        <t>Ore totali: 05:58:32
Eccesso: 00:00:18
- Dopo le 18:00: 00:00:18</t>
      </text>
    </comment>
    <comment ref="Q18" authorId="0" shapeId="0">
      <text>
        <t>Ore totali: 05:24:48
Eccesso: 00:02:54
- Dopo le 18:00: 00:02:54</t>
      </text>
    </comment>
    <comment ref="R18" authorId="0" shapeId="0">
      <text>
        <t>Ore totali: 04:34:44
Eccesso: 00:06:01
- Dopo le 18:00: 00:06:01</t>
      </text>
    </comment>
    <comment ref="S18" authorId="0" shapeId="0">
      <text>
        <t>Ore totali: 04:36:31
Eccesso: 00:09:29
- Dopo le 18:00: 00:09:29</t>
      </text>
    </comment>
    <comment ref="T18" authorId="0" shapeId="0">
      <text>
        <t>Ore totali: 04:00:44
Eccesso: 00:00:13
- Dopo le 18:00: 00:00:13</t>
      </text>
    </comment>
    <comment ref="U18" authorId="0" shapeId="0">
      <text>
        <t>Ore totali: 03:41:24
Eccesso: 00:00:15
- Dopo le 18:00: 00:00:15</t>
      </text>
    </comment>
    <comment ref="Y20" authorId="0" shapeId="0">
      <text>
        <t>Ore totali: 00:17:52
Eccesso: 00:06:21
- Dopo le 18:00: 00:06:21</t>
      </text>
    </comment>
    <comment ref="K22" authorId="0" shapeId="0">
      <text>
        <t>Ore totali: 05:09:44
Eccesso: 00:52:32
- Dopo le 18:00: 00:52:32</t>
      </text>
    </comment>
    <comment ref="L22" authorId="0" shapeId="0">
      <text>
        <t>Ore totali: 07:24:59
Eccesso: 02:19:38
- Dopo le 18:00: 02:19:38</t>
      </text>
    </comment>
    <comment ref="AF23" authorId="0" shapeId="0">
      <text>
        <t>Ore totali: 02:24:31
Eccesso: 00:10:15
- Dopo le 18:00: 00:10:15</t>
      </text>
    </comment>
    <comment ref="E24" authorId="0" shapeId="0">
      <text>
        <t>Ore totali: 04:08:48
Eccesso: 00:04:10
- Dopo le 18:00: 00:04:10</t>
      </text>
    </comment>
    <comment ref="F24" authorId="0" shapeId="0">
      <text>
        <t>Ore totali: 01:16:44
Eccesso: 00:01:02
- Dopo le 18:00: 00:01:02</t>
      </text>
    </comment>
    <comment ref="M24" authorId="0" shapeId="0">
      <text>
        <t>Ore totali: 03:05:56
Eccesso: 00:00:08
- Dopo le 18:00: 00:00:08</t>
      </text>
    </comment>
    <comment ref="Q24" authorId="0" shapeId="0">
      <text>
        <t>Ore totali: 05:08:29
Eccesso: 00:00:28
- Dopo le 18:00: 00:00:28</t>
      </text>
    </comment>
    <comment ref="X24" authorId="0" shapeId="0">
      <text>
        <t>Ore totali: 04:47:42
Eccesso: 00:05:22
- Dopo le 18:00: 00:05:22</t>
      </text>
    </comment>
    <comment ref="AA24" authorId="0" shapeId="0">
      <text>
        <t>Ore totali: 01:12:55
Eccesso: 00:07:47
- Dopo le 18:00: 00:07:47</t>
      </text>
    </comment>
    <comment ref="AB24" authorId="0" shapeId="0">
      <text>
        <t>Ore totali: 03:44:43
Eccesso: 00:03:54
- Dopo le 18:00: 00:03:54</t>
      </text>
    </comment>
    <comment ref="D25" authorId="0" shapeId="0">
      <text>
        <t>Ore totali: 03:34:16
Eccesso: 00:03:01
- Dopo le 18:00: 00:03:01</t>
      </text>
    </comment>
    <comment ref="G25" authorId="0" shapeId="0">
      <text>
        <t>Ore totali: 04:01:52
Eccesso: 00:01:50
- Dopo le 18:00: 00:01:50</t>
      </text>
    </comment>
    <comment ref="J25" authorId="0" shapeId="0">
      <text>
        <t>Ore totali: 05:31:55
Eccesso: 00:29:09
- Dopo le 18:00: 00:29:09</t>
      </text>
    </comment>
    <comment ref="K25" authorId="0" shapeId="0">
      <text>
        <t>Ore totali: 06:19:56
Eccesso: 00:11:14
- Dopo le 18:00: 00:11:14</t>
      </text>
    </comment>
    <comment ref="M25" authorId="0" shapeId="0">
      <text>
        <t>Ore totali: 06:58:00
Eccesso: 01:13:08
- Dopo le 18:00: 01:13:08</t>
      </text>
    </comment>
    <comment ref="Q25" authorId="0" shapeId="0">
      <text>
        <t>Ore totali: 03:20:29
Eccesso: 00:30:05
- Dopo le 18:00: 00:30:05</t>
      </text>
    </comment>
    <comment ref="R25" authorId="0" shapeId="0">
      <text>
        <t>Ore totali: 03:21:38
Eccesso: 00:06:11
- Dopo le 18:00: 00:06:11</t>
      </text>
    </comment>
    <comment ref="X25" authorId="0" shapeId="0">
      <text>
        <t>Ore totali: 02:13:23
Eccesso: 00:29:16
- Dopo le 18:00: 00:29:16</t>
      </text>
    </comment>
    <comment ref="Z25" authorId="0" shapeId="0">
      <text>
        <t>Ore totali: 05:10:03
Eccesso: 00:14:09
- Dopo le 18:00: 00:14:09</t>
      </text>
    </comment>
    <comment ref="AA25" authorId="0" shapeId="0">
      <text>
        <t>Ore totali: 03:22:51
Eccesso: 00:02:06
- Dopo le 18:00: 00:02:06</t>
      </text>
    </comment>
    <comment ref="G28" authorId="0" shapeId="0">
      <text>
        <t>Ore totali: 03:31:00
Eccesso: 00:03:35
- Dopo le 18:00: 00:03:35</t>
      </text>
    </comment>
    <comment ref="N28" authorId="0" shapeId="0">
      <text>
        <t>Ore totali: 03:26:19
Eccesso: 00:15:41
- Dopo le 18:00: 00:15:41</t>
      </text>
    </comment>
    <comment ref="Q28" authorId="0" shapeId="0">
      <text>
        <t>Ore totali: 03:01:50
Eccesso: 00:02:46
- Dopo le 18:00: 00:02:46</t>
      </text>
    </comment>
    <comment ref="S28" authorId="0" shapeId="0">
      <text>
        <t>Ore totali: 02:45:36
Eccesso: 00:18:40
- Dopo le 18:00: 00:18:40</t>
      </text>
    </comment>
    <comment ref="X28" authorId="0" shapeId="0">
      <text>
        <t>Ore totali: 05:52:04
Eccesso: 00:00:56
- Dopo le 18:00: 00:00:56</t>
      </text>
    </comment>
    <comment ref="S29" authorId="0" shapeId="0">
      <text>
        <t>Ore totali: 06:21:20
Eccesso: 00:05:41
- Dopo le 18:00: 00:05:41</t>
      </text>
    </comment>
    <comment ref="T29" authorId="0" shapeId="0">
      <text>
        <t>Ore totali: 07:12:03
Eccesso: 00:14:07
- Dopo le 18:00: 00:14:07</t>
      </text>
    </comment>
    <comment ref="X29" authorId="0" shapeId="0">
      <text>
        <t>Ore totali: 04:36:59
Eccesso: 00:10:49
- Dopo le 18:00: 00:10:49</t>
      </text>
    </comment>
    <comment ref="K30" authorId="0" shapeId="0">
      <text>
        <t>Ore totali: 03:14:20
Eccesso: 00:39:15
- Dopo le 18:00: 00:39:15</t>
      </text>
    </comment>
    <comment ref="T30" authorId="0" shapeId="0">
      <text>
        <t>Ore totali: 02:24:36
Eccesso: 00:19:46
- Dopo le 18:00: 00:19:46</t>
      </text>
    </comment>
    <comment ref="W30" authorId="0" shapeId="0">
      <text>
        <t>Ore totali: 01:00:19
Eccesso: 01:00:19
- Weekend: 01:00:19</t>
      </text>
    </comment>
    <comment ref="X30" authorId="0" shapeId="0">
      <text>
        <t>Ore totali: 02:11:46
Eccesso: 00:14:57
- Dopo le 18:00: 00:14:57</t>
      </text>
    </comment>
    <comment ref="AA30" authorId="0" shapeId="0">
      <text>
        <t>Ore totali: 01:46:00
Eccesso: 00:15:03
- Dopo le 18:00: 00:15:03</t>
      </text>
    </comment>
    <comment ref="AE30" authorId="0" shapeId="0">
      <text>
        <t>Ore totali: 02:16:18
Eccesso: 00:23:57
- Dopo le 18:00: 00:23:57</t>
      </text>
    </comment>
    <comment ref="AF30" authorId="0" shapeId="0">
      <text>
        <t>Ore totali: 03:43:28
Eccesso: 00:28:47
- Dopo le 18:00: 00:28:47</t>
      </text>
    </comment>
    <comment ref="X32" authorId="0" shapeId="0">
      <text>
        <t>Ore totali: 03:22:09
Eccesso: 00:14:31
- Dopo le 18:00: 00:14:31</t>
      </text>
    </comment>
    <comment ref="AE32" authorId="0" shapeId="0">
      <text>
        <t>Ore totali: 04:28:05
Eccesso: 00:11:32
- Dopo le 18:00: 00:11:32</t>
      </text>
    </comment>
  </commentList>
</comments>
</file>

<file path=xl/comments/comment8.xml><?xml version="1.0" encoding="utf-8"?>
<comments xmlns="http://schemas.openxmlformats.org/spreadsheetml/2006/main">
  <authors>
    <author>Monitoring</author>
  </authors>
  <commentList>
    <comment ref="D3" authorId="0" shapeId="0">
      <text>
        <t>% veritiera = MIN(ore effettive, attesa) / attesa (cap al 100%: l'over-fruizione resta al 100%).
Durata attesa: 20h.</t>
      </text>
    </comment>
    <comment ref="E3" authorId="0" shapeId="0">
      <text>
        <t>% veritiera = MIN(ore effettive, attesa) / attesa (cap al 100%: l'over-fruizione resta al 100%).
Durata attesa: 5h.</t>
      </text>
    </comment>
    <comment ref="F3" authorId="0" shapeId="0">
      <text>
        <t>% veritiera = MIN(ore effettive, attesa) / attesa (cap al 100%: l'over-fruizione resta al 100%).
Durata attesa: 18h.</t>
      </text>
    </comment>
    <comment ref="G3" authorId="0" shapeId="0">
      <text>
        <t>% veritiera = MIN(ore effettive, attesa) / attesa (cap al 100%: l'over-fruizione resta al 100%).
Durata attesa: 17h.</t>
      </text>
    </comment>
    <comment ref="H3" authorId="0" shapeId="0">
      <text>
        <t>% veritiera = MIN(ore effettive, attesa) / attesa (cap al 100%: l'over-fruizione resta al 100%).
Durata attesa: 5h.</t>
      </text>
    </comment>
    <comment ref="I3" authorId="0" shapeId="0">
      <text>
        <t>% veritiera = MIN(ore effettive, attesa) / attesa (cap al 100%: l'over-fruizione resta al 100%).
Durata attesa: 11h.</t>
      </text>
    </comment>
    <comment ref="J3" authorId="0" shapeId="0">
      <text>
        <t>% veritiera = MIN(ore effettive, attesa) / attesa (cap al 100%: l'over-fruizione resta al 100%).
Durata attesa: 14h.</t>
      </text>
    </comment>
    <comment ref="K3" authorId="0" shapeId="0">
      <text>
        <t>% veritiera = MIN(ore effettive, attesa) / attesa (cap al 100%: l'over-fruizione resta al 100%).
Durata attesa: 12h.</t>
      </text>
    </comment>
    <comment ref="L3" authorId="0" shapeId="0">
      <text>
        <t>% veritiera = MIN(ore effettive, attesa) / attesa (cap al 100%: l'over-fruizione resta al 100%).
Durata attesa: 11h.</t>
      </text>
    </comment>
    <comment ref="M3" authorId="0" shapeId="0">
      <text>
        <t>% veritiera = MIN(ore effettive, attesa) / attesa (cap al 100%: l'over-fruizione resta al 100%).
Durata attesa: 13h.</t>
      </text>
    </comment>
    <comment ref="N3" authorId="0" shapeId="0">
      <text>
        <t>% veritiera = MIN(ore effettive, attesa) / attesa (cap al 100%: l'over-fruizione resta al 100%).
Durata attesa: 12h.</t>
      </text>
    </comment>
    <comment ref="O3" authorId="0" shapeId="0">
      <text>
        <t>% veritiera = MIN(ore effettive, attesa) / attesa (cap al 100%: l'over-fruizione resta al 100%).
Durata attesa: 3h.</t>
      </text>
    </comment>
    <comment ref="P3" authorId="0" shapeId="0">
      <text>
        <t>% veritiera = MIN(ore effettive, attesa) / attesa (cap al 100%: l'over-fruizione resta al 100%).
Durata attesa: 6h.</t>
      </text>
    </comment>
    <comment ref="Q3" authorId="0" shapeId="0">
      <text>
        <t>% veritiera = MIN(ore effettive, attesa) / attesa (cap al 100%: l'over-fruizione resta al 100%).
Durata attesa: 3h.</t>
      </text>
    </comment>
  </commentList>
</comments>
</file>

<file path=xl/comments/comment9.xml><?xml version="1.0" encoding="utf-8"?>
<comments xmlns="http://schemas.openxmlformats.org/spreadsheetml/2006/main">
  <authors>
    <author>Monitoring</author>
  </authors>
  <commentList>
    <comment ref="D3" authorId="0" shapeId="0">
      <text>
        <t>% veritiera = MIN(ore effettive, attesa) / attesa (cap al 100%: l'over-fruizione resta al 100%).
Durata attesa: 20h.</t>
      </text>
    </comment>
    <comment ref="E3" authorId="0" shapeId="0">
      <text>
        <t>% veritiera = MIN(ore effettive, attesa) / attesa (cap al 100%: l'over-fruizione resta al 100%).
Durata attesa: 5h.</t>
      </text>
    </comment>
    <comment ref="F3" authorId="0" shapeId="0">
      <text>
        <t>% veritiera = MIN(ore effettive, attesa) / attesa (cap al 100%: l'over-fruizione resta al 100%).
Durata attesa: 2h.</t>
      </text>
    </comment>
    <comment ref="G3" authorId="0" shapeId="0">
      <text>
        <t>% veritiera = MIN(ore effettive, attesa) / attesa (cap al 100%: l'over-fruizione resta al 100%).
Durata attesa: 2h.</t>
      </text>
    </comment>
    <comment ref="H3" authorId="0" shapeId="0">
      <text>
        <t>% veritiera = MIN(ore effettive, attesa) / attesa (cap al 100%: l'over-fruizione resta al 100%).
Durata attesa: 16h.</t>
      </text>
    </comment>
    <comment ref="I3" authorId="0" shapeId="0">
      <text>
        <t>% veritiera = MIN(ore effettive, attesa) / attesa (cap al 100%: l'over-fruizione resta al 100%).
Durata attesa: 3h.</t>
      </text>
    </comment>
    <comment ref="J3" authorId="0" shapeId="0">
      <text>
        <t>% veritiera = MIN(ore effettive, attesa) / attesa (cap al 100%: l'over-fruizione resta al 100%).
Durata attesa: 5h.</t>
      </text>
    </comment>
    <comment ref="K3" authorId="0" shapeId="0">
      <text>
        <t>% veritiera = MIN(ore effettive, attesa) / attesa (cap al 100%: l'over-fruizione resta al 100%).
Durata attesa: 4h.</t>
      </text>
    </comment>
    <comment ref="L3" authorId="0" shapeId="0">
      <text>
        <t>% veritiera = MIN(ore effettive, attesa) / attesa (cap al 100%: l'over-fruizione resta al 100%).
Durata attesa: 2h.</t>
      </text>
    </comment>
    <comment ref="M3" authorId="0" shapeId="0">
      <text>
        <t>% veritiera = MIN(ore effettive, attesa) / attesa (cap al 100%: l'over-fruizione resta al 100%).
Durata attesa: 7h.</t>
      </text>
    </comment>
    <comment ref="N3" authorId="0" shapeId="0">
      <text>
        <t>% veritiera = MIN(ore effettive, attesa) / attesa (cap al 100%: l'over-fruizione resta al 100%).
Durata attesa: 23h.</t>
      </text>
    </comment>
    <comment ref="O3" authorId="0" shapeId="0">
      <text>
        <t>% veritiera = MIN(ore effettive, attesa) / attesa (cap al 100%: l'over-fruizione resta al 100%).
Durata attesa: 3h.</t>
      </text>
    </comment>
    <comment ref="P3" authorId="0" shapeId="0">
      <text>
        <t>% veritiera = MIN(ore effettive, attesa) / attesa (cap al 100%: l'over-fruizione resta al 100%).
Durata attesa: 14h.</t>
      </text>
    </comment>
    <comment ref="Q3" authorId="0" shapeId="0">
      <text>
        <t>% veritiera = MIN(ore effettive, attesa) / attesa (cap al 100%: l'over-fruizione resta al 100%).
Durata attesa: 3h.</t>
      </text>
    </comment>
    <comment ref="R3" authorId="0" shapeId="0">
      <text>
        <t>% veritiera = MIN(ore effettive, attesa) / attesa (cap al 100%: l'over-fruizione resta al 100%).
Durata attesa: 9h.</t>
      </text>
    </comment>
    <comment ref="S3" authorId="0" shapeId="0">
      <text>
        <t>% veritiera = MIN(ore effettive, attesa) / attesa (cap al 100%: l'over-fruizione resta al 100%).
Durata attesa: 3h.</t>
      </text>
    </comment>
    <comment ref="T3" authorId="0" shapeId="0">
      <text>
        <t>% veritiera = MIN(ore effettive, attesa) / attesa (cap al 100%: l'over-fruizione resta al 100%).
Durata attesa: 5h.</t>
      </text>
    </comment>
    <comment ref="U3" authorId="0" shapeId="0">
      <text>
        <t>% veritiera = MIN(ore effettive, attesa) / attesa (cap al 100%: l'over-fruizione resta al 100%).
Durata attesa: 7h.</t>
      </text>
    </comment>
    <comment ref="V3" authorId="0" shapeId="0">
      <text>
        <t>% veritiera = MIN(ore effettive, attesa) / attesa (cap al 100%: l'over-fruizione resta al 100%).
Durata attesa: 3h.</t>
      </text>
    </comment>
    <comment ref="W3" authorId="0" shapeId="0">
      <text>
        <t>% veritiera = MIN(ore effettive, attesa) / attesa (cap al 100%: l'over-fruizione resta al 100%).
Durata attesa: 2h.</t>
      </text>
    </comment>
    <comment ref="X3" authorId="0" shapeId="0">
      <text>
        <t>% veritiera = MIN(ore effettive, attesa) / attesa (cap al 100%: l'over-fruizione resta al 100%).
Durata attesa: 3h.</t>
      </text>
    </comment>
    <comment ref="Y3" authorId="0" shapeId="0">
      <text>
        <t>% veritiera = MIN(ore effettive, attesa) / attesa (cap al 100%: l'over-fruizione resta al 100%).
Durata attesa: 9h.</t>
      </text>
    </comment>
  </commentList>
</comments>
</file>

<file path=xl/comments/comment10.xml><?xml version="1.0" encoding="utf-8"?>
<comments xmlns="http://schemas.openxmlformats.org/spreadsheetml/2006/main">
  <authors>
    <author>Monitoring</author>
  </authors>
  <commentList>
    <comment ref="D3" authorId="0" shapeId="0">
      <text>
        <t>% veritiera = MIN(ore effettive, attesa) / attesa (cap al 100%: l'over-fruizione resta al 100%).
Durata attesa: 20h.</t>
      </text>
    </comment>
    <comment ref="E3" authorId="0" shapeId="0">
      <text>
        <t>% veritiera = MIN(ore effettive, attesa) / attesa (cap al 100%: l'over-fruizione resta al 100%).
Durata attesa: 16h.</t>
      </text>
    </comment>
    <comment ref="F3" authorId="0" shapeId="0">
      <text>
        <t>% veritiera = MIN(ore effettive, attesa) / attesa (cap al 100%: l'over-fruizione resta al 100%).
Durata attesa: 17h.</t>
      </text>
    </comment>
    <comment ref="G3" authorId="0" shapeId="0">
      <text>
        <t>% veritiera = MIN(ore effettive, attesa) / attesa (cap al 100%: l'over-fruizione resta al 100%).
Durata attesa: 33h.</t>
      </text>
    </comment>
    <comment ref="H3" authorId="0" shapeId="0">
      <text>
        <t>% veritiera = MIN(ore effettive, attesa) / attesa (cap al 100%: l'over-fruizione resta al 100%).
Durata attesa: 20h.</t>
      </text>
    </comment>
    <comment ref="I3" authorId="0" shapeId="0">
      <text>
        <t>% veritiera = MIN(ore effettive, attesa) / attesa (cap al 100%: l'over-fruizione resta al 100%).
Durata attesa: 12h.</t>
      </text>
    </comment>
    <comment ref="J3" authorId="0" shapeId="0">
      <text>
        <t>% veritiera = MIN(ore effettive, attesa) / attesa (cap al 100%: l'over-fruizione resta al 100%).
Durata attesa: 11h.</t>
      </text>
    </comment>
    <comment ref="K3" authorId="0" shapeId="0">
      <text>
        <t>% veritiera = MIN(ore effettive, attesa) / attesa (cap al 100%: l'over-fruizione resta al 100%).
Durata attesa: 10h.</t>
      </text>
    </comment>
    <comment ref="L3" authorId="0" shapeId="0">
      <text>
        <t>% veritiera = MIN(ore effettive, attesa) / attesa (cap al 100%: l'over-fruizione resta al 100%).
Durata attesa: 11h.</t>
      </text>
    </comment>
  </commentList>
</comments>
</file>

<file path=xl/comments/comment11.xml><?xml version="1.0" encoding="utf-8"?>
<comments xmlns="http://schemas.openxmlformats.org/spreadsheetml/2006/main">
  <authors>
    <author>Monitoring</author>
  </authors>
  <commentList>
    <comment ref="D3" authorId="0" shapeId="0">
      <text>
        <t>% veritiera = MIN(ore effettive, attesa) / attesa (cap al 100%: l'over-fruizione resta al 100%).
Durata attesa: 5h.</t>
      </text>
    </comment>
    <comment ref="E3" authorId="0" shapeId="0">
      <text>
        <t>% veritiera = MIN(ore effettive, attesa) / attesa (cap al 100%: l'over-fruizione resta al 100%).
Durata attesa: 9h.</t>
      </text>
    </comment>
    <comment ref="F3" authorId="0" shapeId="0">
      <text>
        <t>% veritiera = MIN(ore effettive, attesa) / attesa (cap al 100%: l'over-fruizione resta al 100%).
Durata attesa: 2h.</t>
      </text>
    </comment>
    <comment ref="G3" authorId="0" shapeId="0">
      <text>
        <t>% veritiera = MIN(ore effettive, attesa) / attesa (cap al 100%: l'over-fruizione resta al 100%).
Durata attesa: 4h.</t>
      </text>
    </comment>
    <comment ref="H3" authorId="0" shapeId="0">
      <text>
        <t>% veritiera = MIN(ore effettive, attesa) / attesa (cap al 100%: l'over-fruizione resta al 100%).
Durata attesa: 3h.</t>
      </text>
    </comment>
    <comment ref="I3" authorId="0" shapeId="0">
      <text>
        <t>% veritiera = MIN(ore effettive, attesa) / attesa (cap al 100%: l'over-fruizione resta al 100%).
Durata attesa: 2h.</t>
      </text>
    </comment>
    <comment ref="J3" authorId="0" shapeId="0">
      <text>
        <t>% veritiera = MIN(ore effettive, attesa) / attesa (cap al 100%: l'over-fruizione resta al 100%).
Durata attesa: 2h.</t>
      </text>
    </comment>
    <comment ref="K3" authorId="0" shapeId="0">
      <text>
        <t>% veritiera = MIN(ore effettive, attesa) / attesa (cap al 100%: l'over-fruizione resta al 100%).
Durata attesa: 1h.</t>
      </text>
    </comment>
    <comment ref="L3" authorId="0" shapeId="0">
      <text>
        <t>% veritiera = MIN(ore effettive, attesa) / attesa (cap al 100%: l'over-fruizione resta al 100%).
Durata attesa: 3h.</t>
      </text>
    </comment>
    <comment ref="M3" authorId="0" shapeId="0">
      <text>
        <t>% veritiera = MIN(ore effettive, attesa) / attesa (cap al 100%: l'over-fruizione resta al 100%).
Durata attesa: 2h.</t>
      </text>
    </comment>
    <comment ref="N3" authorId="0" shapeId="0">
      <text>
        <t>% veritiera = MIN(ore effettive, attesa) / attesa (cap al 100%: l'over-fruizione resta al 100%).
Durata attesa: 1h.</t>
      </text>
    </comment>
    <comment ref="O3" authorId="0" shapeId="0">
      <text>
        <t>% veritiera = MIN(ore effettive, attesa) / attesa (cap al 100%: l'over-fruizione resta al 100%).
Durata attesa: 9h.</t>
      </text>
    </comment>
    <comment ref="P3" authorId="0" shapeId="0">
      <text>
        <t>% veritiera = MIN(ore effettive, attesa) / attesa (cap al 100%: l'over-fruizione resta al 100%).
Durata attesa: 8h.</t>
      </text>
    </comment>
    <comment ref="Q3" authorId="0" shapeId="0">
      <text>
        <t>% veritiera = MIN(ore effettive, attesa) / attesa (cap al 100%: l'over-fruizione resta al 100%).
Durata attesa: 9h.</t>
      </text>
    </comment>
    <comment ref="R3" authorId="0" shapeId="0">
      <text>
        <t>% veritiera = MIN(ore effettive, attesa) / attesa (cap al 100%: l'over-fruizione resta al 100%).
Durata attesa: 2h.</t>
      </text>
    </comment>
    <comment ref="S3" authorId="0" shapeId="0">
      <text>
        <t>% veritiera = MIN(ore effettive, attesa) / attesa (cap al 100%: l'over-fruizione resta al 100%).
Durata attesa: 12h.</t>
      </text>
    </comment>
    <comment ref="T3" authorId="0" shapeId="0">
      <text>
        <t>% veritiera = MIN(ore effettive, attesa) / attesa (cap al 100%: l'over-fruizione resta al 100%).
Durata attesa: 3h.</t>
      </text>
    </comment>
    <comment ref="U3" authorId="0" shapeId="0">
      <text>
        <t>% veritiera = MIN(ore effettive, attesa) / attesa (cap al 100%: l'over-fruizione resta al 100%).
Durata attesa: 3h.</t>
      </text>
    </comment>
    <comment ref="V3" authorId="0" shapeId="0">
      <text>
        <t>% veritiera = MIN(ore effettive, attesa) / attesa (cap al 100%: l'over-fruizione resta al 100%).
Durata attesa: 2h.</t>
      </text>
    </comment>
    <comment ref="W3" authorId="0" shapeId="0">
      <text>
        <t>% veritiera = MIN(ore effettive, attesa) / attesa (cap al 100%: l'over-fruizione resta al 100%).
Durata attesa: 4h.</t>
      </text>
    </comment>
    <comment ref="X3" authorId="0" shapeId="0">
      <text>
        <t>% veritiera = MIN(ore effettive, attesa) / attesa (cap al 100%: l'over-fruizione resta al 100%).
Durata attesa: 5h.</t>
      </text>
    </comment>
    <comment ref="Y3" authorId="0" shapeId="0">
      <text>
        <t>% veritiera = MIN(ore effettive, attesa) / attesa (cap al 100%: l'over-fruizione resta al 100%).
Durata attesa: 6h.</t>
      </text>
    </comment>
    <comment ref="Z3" authorId="0" shapeId="0">
      <text>
        <t>% veritiera = MIN(ore effettive, attesa) / attesa (cap al 100%: l'over-fruizione resta al 100%).
Durata attesa: 3h.</t>
      </text>
    </comment>
    <comment ref="AA3" authorId="0" shapeId="0">
      <text>
        <t>% veritiera = MIN(ore effettive, attesa) / attesa (cap al 100%: l'over-fruizione resta al 100%).
Durata attesa: 4h.</t>
      </text>
    </comment>
    <comment ref="AB3" authorId="0" shapeId="0">
      <text>
        <t>% veritiera = MIN(ore effettive, attesa) / attesa (cap al 100%: l'over-fruizione resta al 100%).
Durata attesa: 15h.</t>
      </text>
    </comment>
    <comment ref="AC3" authorId="0" shapeId="0">
      <text>
        <t>% veritiera = MIN(ore effettive, attesa) / attesa (cap al 100%: l'over-fruizione resta al 100%).
Durata attesa: 4h.</t>
      </text>
    </comment>
    <comment ref="AD3" authorId="0" shapeId="0">
      <text>
        <t>% veritiera = MIN(ore effettive, attesa) / attesa (cap al 100%: l'over-fruizione resta al 100%).
Durata attesa: 4h.</t>
      </text>
    </comment>
    <comment ref="AE3" authorId="0" shapeId="0">
      <text>
        <t>% veritiera = MIN(ore effettive, attesa) / attesa (cap al 100%: l'over-fruizione resta al 100%).
Durata attesa: 17h.</t>
      </text>
    </comment>
    <comment ref="AF3" authorId="0" shapeId="0">
      <text>
        <t>% veritiera = MIN(ore effettive, attesa) / attesa (cap al 100%: l'over-fruizione resta al 100%).
Durata attesa: 6h.</t>
      </text>
    </comment>
  </commentList>
</comments>
</file>

<file path=xl/comments/comment12.xml><?xml version="1.0" encoding="utf-8"?>
<comments xmlns="http://schemas.openxmlformats.org/spreadsheetml/2006/main">
  <authors>
    <author>Monitoring</author>
  </authors>
  <commentList>
    <comment ref="D3" authorId="0" shapeId="0">
      <text>
        <t>% veritiera = MIN(ore effettive, attesa) / attesa (cap al 100%: l'over-fruizione resta al 100%).
Durata attesa: 20h.</t>
      </text>
    </comment>
    <comment ref="E3" authorId="0" shapeId="0">
      <text>
        <t>% veritiera = MIN(ore effettive, attesa) / attesa (cap al 100%: l'over-fruizione resta al 100%).
Durata attesa: 5h.</t>
      </text>
    </comment>
    <comment ref="F3" authorId="0" shapeId="0">
      <text>
        <t>% veritiera = MIN(ore effettive, attesa) / attesa (cap al 100%: l'over-fruizione resta al 100%).
Durata attesa: 2h.</t>
      </text>
    </comment>
    <comment ref="G3" authorId="0" shapeId="0">
      <text>
        <t>% veritiera = MIN(ore effettive, attesa) / attesa (cap al 100%: l'over-fruizione resta al 100%).
Durata attesa: 17h.</t>
      </text>
    </comment>
    <comment ref="H3" authorId="0" shapeId="0">
      <text>
        <t>% veritiera = MIN(ore effettive, attesa) / attesa (cap al 100%: l'over-fruizione resta al 100%).
Durata attesa: 25h.</t>
      </text>
    </comment>
    <comment ref="I3" authorId="0" shapeId="0">
      <text>
        <t>% veritiera = MIN(ore effettive, attesa) / attesa (cap al 100%: l'over-fruizione resta al 100%).
Durata attesa: 20h.</t>
      </text>
    </comment>
    <comment ref="J3" authorId="0" shapeId="0">
      <text>
        <t>% veritiera = MIN(ore effettive, attesa) / attesa (cap al 100%: l'over-fruizione resta al 100%).
Durata attesa: 16h.</t>
      </text>
    </comment>
    <comment ref="K3" authorId="0" shapeId="0">
      <text>
        <t>% veritiera = MIN(ore effettive, attesa) / attesa (cap al 100%: l'over-fruizione resta al 100%).
Durata attesa: 20h.</t>
      </text>
    </comment>
    <comment ref="L3" authorId="0" shapeId="0">
      <text>
        <t>% veritiera = MIN(ore effettive, attesa) / attesa (cap al 100%: l'over-fruizione resta al 100%).
Durata attesa: 5h.</t>
      </text>
    </comment>
    <comment ref="M3" authorId="0" shapeId="0">
      <text>
        <t>% veritiera = MIN(ore effettive, attesa) / attesa (cap al 100%: l'over-fruizione resta al 100%).
Durata attesa: 7h.</t>
      </text>
    </comment>
    <comment ref="N3" authorId="0" shapeId="0">
      <text>
        <t>% veritiera = MIN(ore effettive, attesa) / attesa (cap al 100%: l'over-fruizione resta al 100%).
Durata attesa: 7h.</t>
      </text>
    </comment>
    <comment ref="O3" authorId="0" shapeId="0">
      <text>
        <t>% veritiera = MIN(ore effettive, attesa) / attesa (cap al 100%: l'over-fruizione resta al 100%).
Durata attesa: 2h.</t>
      </text>
    </comment>
    <comment ref="P3" authorId="0" shapeId="0">
      <text>
        <t>% veritiera = MIN(ore effettive, attesa) / attesa (cap al 100%: l'over-fruizione resta al 100%).
Durata attesa: 2h.</t>
      </text>
    </comment>
    <comment ref="Q3" authorId="0" shapeId="0">
      <text>
        <t>% veritiera = MIN(ore effettive, attesa) / attesa (cap al 100%: l'over-fruizione resta al 100%).
Durata attesa: 3h.</t>
      </text>
    </comment>
    <comment ref="R3" authorId="0" shapeId="0">
      <text>
        <t>% veritiera = MIN(ore effettive, attesa) / attesa (cap al 100%: l'over-fruizione resta al 100%).
Durata attesa: 2h.</t>
      </text>
    </comment>
    <comment ref="S3" authorId="0" shapeId="0">
      <text>
        <t>% veritiera = MIN(ore effettive, attesa) / attesa (cap al 100%: l'over-fruizione resta al 100%).
Durata attesa: 3h.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7" customWidth="1" min="2" max="2"/>
    <col width="36" customWidth="1" min="3" max="3"/>
    <col width="14" customWidth="1" min="10" max="10"/>
    <col width="12" customWidth="1" min="11" max="11"/>
    <col width="11" customWidth="1" min="12" max="12"/>
    <col width="130.28515625" customWidth="1" min="13" max="13"/>
    <col width="14" customWidth="1" min="14" max="14"/>
    <col width="13" customWidth="1" min="15" max="15"/>
    <col width="13" customWidth="1" min="16" max="16"/>
    <col hidden="1" min="17" max="17"/>
  </cols>
  <sheetData>
    <row r="1" ht="26.1" customHeight="1">
      <c r="A1" s="1" t="inlineStr">
        <is>
          <t>RIEPILOGO GENERALE - ore maturate/tolte e % copertura NON compensativa (100% solo se tutti i corsi del percorso sono al 100% nei fogli Dettaglio)</t>
        </is>
      </c>
    </row>
    <row r="2" ht="44.1" customHeight="1">
      <c r="A2" s="2" t="inlineStr">
        <is>
          <t>Discente</t>
        </is>
      </c>
      <c r="B2" s="2" t="inlineStr">
        <is>
          <t>Codice Fiscale</t>
        </is>
      </c>
      <c r="C2" s="2" t="inlineStr">
        <is>
          <t>Percorso Formativo</t>
        </is>
      </c>
      <c r="J2" s="2" t="inlineStr">
        <is>
          <t>Totale
Ore Maturate</t>
        </is>
      </c>
      <c r="K2" s="2" t="inlineStr">
        <is>
          <t>Ore Tolte
(totali)</t>
        </is>
      </c>
      <c r="L2" s="2" t="inlineStr">
        <is>
          <t>%
copertura</t>
        </is>
      </c>
      <c r="M2" s="2" t="inlineStr">
        <is>
          <t>Corsi da
finire</t>
        </is>
      </c>
      <c r="N2" s="2" t="inlineStr">
        <is>
          <t>Quota Retr.
al 80%
(€/h)</t>
        </is>
      </c>
      <c r="O2" s="2" t="inlineStr">
        <is>
          <t>Costo orario
contributivo</t>
        </is>
      </c>
      <c r="P2" s="2" t="inlineStr">
        <is>
          <t>Finanziamento</t>
        </is>
      </c>
    </row>
    <row r="3" ht="20.1" customHeight="1">
      <c r="A3" s="3" t="inlineStr">
        <is>
          <t>ALBA WILLIAM JULIAN PAZ</t>
        </is>
      </c>
      <c r="B3" s="4" t="inlineStr">
        <is>
          <t>PZLWLM96A16Z504F</t>
        </is>
      </c>
      <c r="C3" s="3" t="inlineStr">
        <is>
          <t>La programmazione - Tecninf - Fondoconoscenza</t>
        </is>
      </c>
      <c r="J3" s="5">
        <f>IFERROR(INDEX('Aprile 2026'!AH4:AH37,MATCH("PZLWLM96A16Z504F",'Aprile 2026'!B4:B37,0)),0)+IFERROR(INDEX('Maggio 2026'!AI4:AI37,MATCH("PZLWLM96A16Z504F",'Maggio 2026'!B4:B37,0)),0)+IFERROR(INDEX('Giugno 2026'!AH4:AH37,MATCH("PZLWLM96A16Z504F",'Giugno 2026'!B4:B37,0)),0)+IFERROR(INDEX('Luglio 2026'!AI4:AI37,MATCH("PZLWLM96A16Z504F",'Luglio 2026'!B4:B37,0)),0)+IFERROR(INDEX('Agosto 2026'!AI4:AI37,MATCH("PZLWLM96A16Z504F",'Agosto 2026'!B4:B37,0)),0)+IFERROR(INDEX('Settembre 2026'!AH4:AH37,MATCH("PZLWLM96A16Z504F",'Settembre 2026'!B4:B37,0)),0)</f>
        <v/>
      </c>
      <c r="K3" s="5">
        <f>IFERROR(INDEX('Aprile 2026'!AJ4:AJ37,MATCH("PZLWLM96A16Z504F",'Aprile 2026'!B4:B37,0)),0)+IFERROR(INDEX('Maggio 2026'!AK4:AK37,MATCH("PZLWLM96A16Z504F",'Maggio 2026'!B4:B37,0)),0)+IFERROR(INDEX('Giugno 2026'!AJ4:AJ37,MATCH("PZLWLM96A16Z504F",'Giugno 2026'!B4:B37,0)),0)+IFERROR(INDEX('Luglio 2026'!AK4:AK37,MATCH("PZLWLM96A16Z504F",'Luglio 2026'!B4:B37,0)),0)+IFERROR(INDEX('Agosto 2026'!AK4:AK37,MATCH("PZLWLM96A16Z504F",'Agosto 2026'!B4:B37,0)),0)+IFERROR(INDEX('Settembre 2026'!AJ4:AJ37,MATCH("PZLWLM96A16Z504F",'Settembre 2026'!B4:B37,0)),0)</f>
        <v/>
      </c>
      <c r="L3" s="6">
        <f>IF(75=0,0,MIN((J3*24)/150,1))</f>
        <v/>
      </c>
      <c r="M3" s="3" t="inlineStr">
        <is>
          <t>GDPR e nuove normative Europee; I sistemi operativi; Linguaggi di programmazione</t>
        </is>
      </c>
      <c r="N3" s="4" t="n">
        <v>9.731453023255815</v>
      </c>
      <c r="O3" s="4" t="n">
        <v>4.849926321476056</v>
      </c>
      <c r="P3" s="7">
        <f>(N3+O3)*J3*24</f>
        <v/>
      </c>
    </row>
    <row r="4" ht="20.1" customHeight="1">
      <c r="A4" s="3" t="inlineStr">
        <is>
          <t>BADII ALESSANDRO</t>
        </is>
      </c>
      <c r="B4" s="4" t="inlineStr">
        <is>
          <t>BDALSN01R03H501Z</t>
        </is>
      </c>
      <c r="C4" s="3" t="inlineStr">
        <is>
          <t>Big Data - Tecninf - Fondoconoscenza</t>
        </is>
      </c>
      <c r="J4" s="5">
        <f>IFERROR(INDEX('Aprile 2026'!AH4:AH37,MATCH("BDALSN01R03H501Z",'Aprile 2026'!B4:B37,0)),0)+IFERROR(INDEX('Maggio 2026'!AI4:AI37,MATCH("BDALSN01R03H501Z",'Maggio 2026'!B4:B37,0)),0)+IFERROR(INDEX('Giugno 2026'!AH4:AH37,MATCH("BDALSN01R03H501Z",'Giugno 2026'!B4:B37,0)),0)+IFERROR(INDEX('Luglio 2026'!AI4:AI37,MATCH("BDALSN01R03H501Z",'Luglio 2026'!B4:B37,0)),0)+IFERROR(INDEX('Agosto 2026'!AI4:AI37,MATCH("BDALSN01R03H501Z",'Agosto 2026'!B4:B37,0)),0)+IFERROR(INDEX('Settembre 2026'!AH4:AH37,MATCH("BDALSN01R03H501Z",'Settembre 2026'!B4:B37,0)),0)</f>
        <v/>
      </c>
      <c r="K4" s="5">
        <f>IFERROR(INDEX('Aprile 2026'!AJ4:AJ37,MATCH("BDALSN01R03H501Z",'Aprile 2026'!B4:B37,0)),0)+IFERROR(INDEX('Maggio 2026'!AK4:AK37,MATCH("BDALSN01R03H501Z",'Maggio 2026'!B4:B37,0)),0)+IFERROR(INDEX('Giugno 2026'!AJ4:AJ37,MATCH("BDALSN01R03H501Z",'Giugno 2026'!B4:B37,0)),0)+IFERROR(INDEX('Luglio 2026'!AK4:AK37,MATCH("BDALSN01R03H501Z",'Luglio 2026'!B4:B37,0)),0)+IFERROR(INDEX('Agosto 2026'!AK4:AK37,MATCH("BDALSN01R03H501Z",'Agosto 2026'!B4:B37,0)),0)+IFERROR(INDEX('Settembre 2026'!AJ4:AJ37,MATCH("BDALSN01R03H501Z",'Settembre 2026'!B4:B37,0)),0)</f>
        <v/>
      </c>
      <c r="L4" s="6">
        <f>IF(75=0,0,MIN((J4*24)/150,1))</f>
        <v/>
      </c>
      <c r="M4" s="3" t="inlineStr">
        <is>
          <t>I Big data in ambito finanziario; Deep Learning e reti neurali; Sicurezza e Password Management</t>
        </is>
      </c>
      <c r="N4" s="4" t="n">
        <v>9.731453023255815</v>
      </c>
      <c r="O4" s="4" t="n">
        <v>4.849926321476056</v>
      </c>
      <c r="P4" s="7">
        <f>(N4+O4)*J4*24</f>
        <v/>
      </c>
    </row>
    <row r="5" ht="20.1" customHeight="1">
      <c r="A5" s="3" t="inlineStr">
        <is>
          <t>BADINE HICHAM</t>
        </is>
      </c>
      <c r="B5" s="4" t="inlineStr">
        <is>
          <t>BDNHHM97H19H501Q</t>
        </is>
      </c>
      <c r="C5" s="3" t="inlineStr">
        <is>
          <t>La programmazione - Tecninf - Fondoconoscenza</t>
        </is>
      </c>
      <c r="J5" s="5">
        <f>IFERROR(INDEX('Aprile 2026'!AH4:AH37,MATCH("BDNHHM97H19H501Q",'Aprile 2026'!B4:B37,0)),0)+IFERROR(INDEX('Maggio 2026'!AI4:AI37,MATCH("BDNHHM97H19H501Q",'Maggio 2026'!B4:B37,0)),0)+IFERROR(INDEX('Giugno 2026'!AH4:AH37,MATCH("BDNHHM97H19H501Q",'Giugno 2026'!B4:B37,0)),0)+IFERROR(INDEX('Luglio 2026'!AI4:AI37,MATCH("BDNHHM97H19H501Q",'Luglio 2026'!B4:B37,0)),0)+IFERROR(INDEX('Agosto 2026'!AI4:AI37,MATCH("BDNHHM97H19H501Q",'Agosto 2026'!B4:B37,0)),0)+IFERROR(INDEX('Settembre 2026'!AH4:AH37,MATCH("BDNHHM97H19H501Q",'Settembre 2026'!B4:B37,0)),0)</f>
        <v/>
      </c>
      <c r="K5" s="5">
        <f>IFERROR(INDEX('Aprile 2026'!AJ4:AJ37,MATCH("BDNHHM97H19H501Q",'Aprile 2026'!B4:B37,0)),0)+IFERROR(INDEX('Maggio 2026'!AK4:AK37,MATCH("BDNHHM97H19H501Q",'Maggio 2026'!B4:B37,0)),0)+IFERROR(INDEX('Giugno 2026'!AJ4:AJ37,MATCH("BDNHHM97H19H501Q",'Giugno 2026'!B4:B37,0)),0)+IFERROR(INDEX('Luglio 2026'!AK4:AK37,MATCH("BDNHHM97H19H501Q",'Luglio 2026'!B4:B37,0)),0)+IFERROR(INDEX('Agosto 2026'!AK4:AK37,MATCH("BDNHHM97H19H501Q",'Agosto 2026'!B4:B37,0)),0)+IFERROR(INDEX('Settembre 2026'!AJ4:AJ37,MATCH("BDNHHM97H19H501Q",'Settembre 2026'!B4:B37,0)),0)</f>
        <v/>
      </c>
      <c r="L5" s="6">
        <f>IF(75=0,0,MIN((J5*24)/150,1))</f>
        <v/>
      </c>
      <c r="M5" s="3" t="inlineStr">
        <is>
          <t>Front end base: HTML, CSS, Bootstrap; Front end avanzato: JavaScript e jQuery</t>
        </is>
      </c>
      <c r="N5" s="4" t="n">
        <v>9.731453023255815</v>
      </c>
      <c r="O5" s="4" t="n">
        <v>3.235298414499312</v>
      </c>
      <c r="P5" s="7">
        <f>(N5+O5)*J5*24</f>
        <v/>
      </c>
    </row>
    <row r="6" ht="20.1" customHeight="1">
      <c r="A6" s="3" t="inlineStr">
        <is>
          <t>BECIANI ANDREA</t>
        </is>
      </c>
      <c r="B6" s="4" t="inlineStr">
        <is>
          <t>BCNNDR82P16D773D</t>
        </is>
      </c>
      <c r="C6" s="3" t="inlineStr">
        <is>
          <t>La programmazione - Tecninf - Fondoconoscenza</t>
        </is>
      </c>
      <c r="J6" s="5">
        <f>IFERROR(INDEX('Aprile 2026'!AH4:AH37,MATCH("BCNNDR82P16D773D",'Aprile 2026'!B4:B37,0)),0)+IFERROR(INDEX('Maggio 2026'!AI4:AI37,MATCH("BCNNDR82P16D773D",'Maggio 2026'!B4:B37,0)),0)+IFERROR(INDEX('Giugno 2026'!AH4:AH37,MATCH("BCNNDR82P16D773D",'Giugno 2026'!B4:B37,0)),0)+IFERROR(INDEX('Luglio 2026'!AI4:AI37,MATCH("BCNNDR82P16D773D",'Luglio 2026'!B4:B37,0)),0)+IFERROR(INDEX('Agosto 2026'!AI4:AI37,MATCH("BCNNDR82P16D773D",'Agosto 2026'!B4:B37,0)),0)+IFERROR(INDEX('Settembre 2026'!AH4:AH37,MATCH("BCNNDR82P16D773D",'Settembre 2026'!B4:B37,0)),0)</f>
        <v/>
      </c>
      <c r="K6" s="5">
        <f>IFERROR(INDEX('Aprile 2026'!AJ4:AJ37,MATCH("BCNNDR82P16D773D",'Aprile 2026'!B4:B37,0)),0)+IFERROR(INDEX('Maggio 2026'!AK4:AK37,MATCH("BCNNDR82P16D773D",'Maggio 2026'!B4:B37,0)),0)+IFERROR(INDEX('Giugno 2026'!AJ4:AJ37,MATCH("BCNNDR82P16D773D",'Giugno 2026'!B4:B37,0)),0)+IFERROR(INDEX('Luglio 2026'!AK4:AK37,MATCH("BCNNDR82P16D773D",'Luglio 2026'!B4:B37,0)),0)+IFERROR(INDEX('Agosto 2026'!AK4:AK37,MATCH("BCNNDR82P16D773D",'Agosto 2026'!B4:B37,0)),0)+IFERROR(INDEX('Settembre 2026'!AJ4:AJ37,MATCH("BCNNDR82P16D773D",'Settembre 2026'!B4:B37,0)),0)</f>
        <v/>
      </c>
      <c r="L6" s="6">
        <f>IF(75=0,0,MIN((J6*24)/150,1))</f>
        <v/>
      </c>
      <c r="M6" s="3" t="inlineStr">
        <is>
          <t>I sistemi operativi; Linguaggi di programmazione; Back end base: Fondamenti di PHP; Back end avanzato: PHP MVC con Laravel</t>
        </is>
      </c>
      <c r="N6" s="4" t="n">
        <v>9.304</v>
      </c>
      <c r="O6" s="4" t="n">
        <v>5.11</v>
      </c>
      <c r="P6" s="7">
        <f>(N6+O6)*J6*24</f>
        <v/>
      </c>
    </row>
    <row r="7" ht="20.1" customHeight="1">
      <c r="A7" s="3" t="inlineStr">
        <is>
          <t>BOONTAWEE JUTATIP</t>
        </is>
      </c>
      <c r="B7" s="4" t="inlineStr">
        <is>
          <t>BNTJTP78S54Z241U</t>
        </is>
      </c>
      <c r="C7" s="3" t="inlineStr">
        <is>
          <t>Project Management per il digitale - Tecninf - Fondoconoscenza</t>
        </is>
      </c>
      <c r="J7" s="5">
        <f>IFERROR(INDEX('Aprile 2026'!AH4:AH37,MATCH("BNTJTP78S54Z241U",'Aprile 2026'!B4:B37,0)),0)+IFERROR(INDEX('Maggio 2026'!AI4:AI37,MATCH("BNTJTP78S54Z241U",'Maggio 2026'!B4:B37,0)),0)+IFERROR(INDEX('Giugno 2026'!AH4:AH37,MATCH("BNTJTP78S54Z241U",'Giugno 2026'!B4:B37,0)),0)+IFERROR(INDEX('Luglio 2026'!AI4:AI37,MATCH("BNTJTP78S54Z241U",'Luglio 2026'!B4:B37,0)),0)+IFERROR(INDEX('Agosto 2026'!AI4:AI37,MATCH("BNTJTP78S54Z241U",'Agosto 2026'!B4:B37,0)),0)+IFERROR(INDEX('Settembre 2026'!AH4:AH37,MATCH("BNTJTP78S54Z241U",'Settembre 2026'!B4:B37,0)),0)</f>
        <v/>
      </c>
      <c r="K7" s="5">
        <f>IFERROR(INDEX('Aprile 2026'!AJ4:AJ37,MATCH("BNTJTP78S54Z241U",'Aprile 2026'!B4:B37,0)),0)+IFERROR(INDEX('Maggio 2026'!AK4:AK37,MATCH("BNTJTP78S54Z241U",'Maggio 2026'!B4:B37,0)),0)+IFERROR(INDEX('Giugno 2026'!AJ4:AJ37,MATCH("BNTJTP78S54Z241U",'Giugno 2026'!B4:B37,0)),0)+IFERROR(INDEX('Luglio 2026'!AK4:AK37,MATCH("BNTJTP78S54Z241U",'Luglio 2026'!B4:B37,0)),0)+IFERROR(INDEX('Agosto 2026'!AK4:AK37,MATCH("BNTJTP78S54Z241U",'Agosto 2026'!B4:B37,0)),0)+IFERROR(INDEX('Settembre 2026'!AJ4:AJ37,MATCH("BNTJTP78S54Z241U",'Settembre 2026'!B4:B37,0)),0)</f>
        <v/>
      </c>
      <c r="L7" s="6">
        <f>IF(75=0,0,MIN((J7*24)/150,1))</f>
        <v/>
      </c>
      <c r="M7" s="3" t="inlineStr">
        <is>
          <t>La gestione delle risorse umane; La swot analysis del personale; Fondamenti di Project Management; Leadership e Motivazione; Skills e competenze per comunicare in azienda</t>
        </is>
      </c>
      <c r="N7" s="4" t="n">
        <v>13.17800930232558</v>
      </c>
      <c r="O7" s="4" t="n">
        <v>6.56758080265642</v>
      </c>
      <c r="P7" s="7">
        <f>(N7+O7)*J7*24</f>
        <v/>
      </c>
    </row>
    <row r="8" ht="20.1" customHeight="1">
      <c r="A8" s="3" t="inlineStr">
        <is>
          <t>BUTTINELLI GIORGIA</t>
        </is>
      </c>
      <c r="B8" s="4" t="inlineStr">
        <is>
          <t>BTTGRG97S59G274Q</t>
        </is>
      </c>
      <c r="C8" s="3" t="inlineStr">
        <is>
          <t>Big Data - Tecninf - Fondoconoscenza</t>
        </is>
      </c>
      <c r="J8" s="5">
        <f>IFERROR(INDEX('Aprile 2026'!AH4:AH37,MATCH("BTTGRG97S59G274Q",'Aprile 2026'!B4:B37,0)),0)+IFERROR(INDEX('Maggio 2026'!AI4:AI37,MATCH("BTTGRG97S59G274Q",'Maggio 2026'!B4:B37,0)),0)+IFERROR(INDEX('Giugno 2026'!AH4:AH37,MATCH("BTTGRG97S59G274Q",'Giugno 2026'!B4:B37,0)),0)+IFERROR(INDEX('Luglio 2026'!AI4:AI37,MATCH("BTTGRG97S59G274Q",'Luglio 2026'!B4:B37,0)),0)+IFERROR(INDEX('Agosto 2026'!AI4:AI37,MATCH("BTTGRG97S59G274Q",'Agosto 2026'!B4:B37,0)),0)+IFERROR(INDEX('Settembre 2026'!AH4:AH37,MATCH("BTTGRG97S59G274Q",'Settembre 2026'!B4:B37,0)),0)</f>
        <v/>
      </c>
      <c r="K8" s="5">
        <f>IFERROR(INDEX('Aprile 2026'!AJ4:AJ37,MATCH("BTTGRG97S59G274Q",'Aprile 2026'!B4:B37,0)),0)+IFERROR(INDEX('Maggio 2026'!AK4:AK37,MATCH("BTTGRG97S59G274Q",'Maggio 2026'!B4:B37,0)),0)+IFERROR(INDEX('Giugno 2026'!AJ4:AJ37,MATCH("BTTGRG97S59G274Q",'Giugno 2026'!B4:B37,0)),0)+IFERROR(INDEX('Luglio 2026'!AK4:AK37,MATCH("BTTGRG97S59G274Q",'Luglio 2026'!B4:B37,0)),0)+IFERROR(INDEX('Agosto 2026'!AK4:AK37,MATCH("BTTGRG97S59G274Q",'Agosto 2026'!B4:B37,0)),0)+IFERROR(INDEX('Settembre 2026'!AJ4:AJ37,MATCH("BTTGRG97S59G274Q",'Settembre 2026'!B4:B37,0)),0)</f>
        <v/>
      </c>
      <c r="L8" s="6">
        <f>IF(75=0,0,MIN((J8*24)/150,1))</f>
        <v/>
      </c>
      <c r="M8" s="3" t="inlineStr">
        <is>
          <t>GDPR e nuove normative Europee; Introduzione ai Big Data nelle aziende; Big data e analisi predittiva; I Big data in ambito finanziario; Database relazionali e linguaggio SQL con PHP; Natural Language Processing con Python; Progettare autorizzazioni e autentificazioni; Gestione avanzata di un Database</t>
        </is>
      </c>
      <c r="N8" s="4" t="n">
        <v>9.984876279069768</v>
      </c>
      <c r="O8" s="4" t="n">
        <v>4.976207445962649</v>
      </c>
      <c r="P8" s="7">
        <f>(N8+O8)*J8*24</f>
        <v/>
      </c>
    </row>
    <row r="9" ht="20.1" customHeight="1">
      <c r="A9" s="3" t="inlineStr">
        <is>
          <t>CARABLUT VICTOR</t>
        </is>
      </c>
      <c r="B9" s="4" t="inlineStr">
        <is>
          <t>CRBVTR94A11Z140B</t>
        </is>
      </c>
      <c r="C9" s="3" t="inlineStr">
        <is>
          <t>Sicurezza Informatica - Tecninf - Fondoconoscenza</t>
        </is>
      </c>
      <c r="J9" s="5">
        <f>IFERROR(INDEX('Aprile 2026'!AH4:AH37,MATCH("CRBVTR94A11Z140B",'Aprile 2026'!B4:B37,0)),0)+IFERROR(INDEX('Maggio 2026'!AI4:AI37,MATCH("CRBVTR94A11Z140B",'Maggio 2026'!B4:B37,0)),0)+IFERROR(INDEX('Giugno 2026'!AH4:AH37,MATCH("CRBVTR94A11Z140B",'Giugno 2026'!B4:B37,0)),0)+IFERROR(INDEX('Luglio 2026'!AI4:AI37,MATCH("CRBVTR94A11Z140B",'Luglio 2026'!B4:B37,0)),0)+IFERROR(INDEX('Agosto 2026'!AI4:AI37,MATCH("CRBVTR94A11Z140B",'Agosto 2026'!B4:B37,0)),0)+IFERROR(INDEX('Settembre 2026'!AH4:AH37,MATCH("CRBVTR94A11Z140B",'Settembre 2026'!B4:B37,0)),0)</f>
        <v/>
      </c>
      <c r="K9" s="5">
        <f>IFERROR(INDEX('Aprile 2026'!AJ4:AJ37,MATCH("CRBVTR94A11Z140B",'Aprile 2026'!B4:B37,0)),0)+IFERROR(INDEX('Maggio 2026'!AK4:AK37,MATCH("CRBVTR94A11Z140B",'Maggio 2026'!B4:B37,0)),0)+IFERROR(INDEX('Giugno 2026'!AJ4:AJ37,MATCH("CRBVTR94A11Z140B",'Giugno 2026'!B4:B37,0)),0)+IFERROR(INDEX('Luglio 2026'!AK4:AK37,MATCH("CRBVTR94A11Z140B",'Luglio 2026'!B4:B37,0)),0)+IFERROR(INDEX('Agosto 2026'!AK4:AK37,MATCH("CRBVTR94A11Z140B",'Agosto 2026'!B4:B37,0)),0)+IFERROR(INDEX('Settembre 2026'!AJ4:AJ37,MATCH("CRBVTR94A11Z140B",'Settembre 2026'!B4:B37,0)),0)</f>
        <v/>
      </c>
      <c r="L9" s="6">
        <f>IF(75=0,0,MIN((J9*24)/150,1))</f>
        <v/>
      </c>
      <c r="M9" s="3" t="inlineStr">
        <is>
          <t>GDPR e nuove normative Europee; La Cyber Security; La Network Security; Cloud e Fog Computing; I sistemi cyber fisici; Internet delle Cose e delle Macchine; Gli attacchi tramite Ransomware</t>
        </is>
      </c>
      <c r="N9" s="4" t="n">
        <v>9.858164651162792</v>
      </c>
      <c r="O9" s="4" t="n">
        <v>4.913013289280792</v>
      </c>
      <c r="P9" s="7">
        <f>(N9+O9)*J9*24</f>
        <v/>
      </c>
    </row>
    <row r="10" ht="20.1" customHeight="1">
      <c r="A10" s="3" t="inlineStr">
        <is>
          <t>CECCONI ANTHONY</t>
        </is>
      </c>
      <c r="B10" s="4" t="inlineStr">
        <is>
          <t>CCCNHN91D19H501W</t>
        </is>
      </c>
      <c r="C10" s="3" t="inlineStr">
        <is>
          <t>La programmazione - Tecninf - Fondoconoscenza</t>
        </is>
      </c>
      <c r="J10" s="5">
        <f>IFERROR(INDEX('Aprile 2026'!AH4:AH37,MATCH("CCCNHN91D19H501W",'Aprile 2026'!B4:B37,0)),0)+IFERROR(INDEX('Maggio 2026'!AI4:AI37,MATCH("CCCNHN91D19H501W",'Maggio 2026'!B4:B37,0)),0)+IFERROR(INDEX('Giugno 2026'!AH4:AH37,MATCH("CCCNHN91D19H501W",'Giugno 2026'!B4:B37,0)),0)+IFERROR(INDEX('Luglio 2026'!AI4:AI37,MATCH("CCCNHN91D19H501W",'Luglio 2026'!B4:B37,0)),0)+IFERROR(INDEX('Agosto 2026'!AI4:AI37,MATCH("CCCNHN91D19H501W",'Agosto 2026'!B4:B37,0)),0)+IFERROR(INDEX('Settembre 2026'!AH4:AH37,MATCH("CCCNHN91D19H501W",'Settembre 2026'!B4:B37,0)),0)</f>
        <v/>
      </c>
      <c r="K10" s="5">
        <f>IFERROR(INDEX('Aprile 2026'!AJ4:AJ37,MATCH("CCCNHN91D19H501W",'Aprile 2026'!B4:B37,0)),0)+IFERROR(INDEX('Maggio 2026'!AK4:AK37,MATCH("CCCNHN91D19H501W",'Maggio 2026'!B4:B37,0)),0)+IFERROR(INDEX('Giugno 2026'!AJ4:AJ37,MATCH("CCCNHN91D19H501W",'Giugno 2026'!B4:B37,0)),0)+IFERROR(INDEX('Luglio 2026'!AK4:AK37,MATCH("CCCNHN91D19H501W",'Luglio 2026'!B4:B37,0)),0)+IFERROR(INDEX('Agosto 2026'!AK4:AK37,MATCH("CCCNHN91D19H501W",'Agosto 2026'!B4:B37,0)),0)+IFERROR(INDEX('Settembre 2026'!AJ4:AJ37,MATCH("CCCNHN91D19H501W",'Settembre 2026'!B4:B37,0)),0)</f>
        <v/>
      </c>
      <c r="L10" s="6">
        <f>IF(75=0,0,MIN((J10*24)/150,1))</f>
        <v/>
      </c>
      <c r="M10" s="3" t="inlineStr">
        <is>
          <t>GDPR e nuove normative Europee; I sistemi operativi; Applicazioni dinamiche con PHP e MySql; Back end avanzato: PHP MVC con Laravel</t>
        </is>
      </c>
      <c r="N10" s="4" t="n">
        <v>9.731453023255815</v>
      </c>
      <c r="O10" s="4" t="n">
        <v>4.849926321476056</v>
      </c>
      <c r="P10" s="7">
        <f>(N10+O10)*J10*24</f>
        <v/>
      </c>
    </row>
    <row r="11" ht="20.1" customHeight="1">
      <c r="A11" s="3" t="inlineStr">
        <is>
          <t>CHIARA GOBBI MARIA</t>
        </is>
      </c>
      <c r="B11" s="4" t="inlineStr">
        <is>
          <t>GBBMCH73R57H501G</t>
        </is>
      </c>
      <c r="C11" s="3" t="inlineStr">
        <is>
          <t>L'ufficio digitale - Tecninf - Fondoconoscenza</t>
        </is>
      </c>
      <c r="J11" s="5">
        <f>IFERROR(INDEX('Aprile 2026'!AH4:AH37,MATCH("GBBMCH73R57H501G",'Aprile 2026'!B4:B37,0)),0)+IFERROR(INDEX('Maggio 2026'!AI4:AI37,MATCH("GBBMCH73R57H501G",'Maggio 2026'!B4:B37,0)),0)+IFERROR(INDEX('Giugno 2026'!AH4:AH37,MATCH("GBBMCH73R57H501G",'Giugno 2026'!B4:B37,0)),0)+IFERROR(INDEX('Luglio 2026'!AI4:AI37,MATCH("GBBMCH73R57H501G",'Luglio 2026'!B4:B37,0)),0)+IFERROR(INDEX('Agosto 2026'!AI4:AI37,MATCH("GBBMCH73R57H501G",'Agosto 2026'!B4:B37,0)),0)+IFERROR(INDEX('Settembre 2026'!AH4:AH37,MATCH("GBBMCH73R57H501G",'Settembre 2026'!B4:B37,0)),0)</f>
        <v/>
      </c>
      <c r="K11" s="5">
        <f>IFERROR(INDEX('Aprile 2026'!AJ4:AJ37,MATCH("GBBMCH73R57H501G",'Aprile 2026'!B4:B37,0)),0)+IFERROR(INDEX('Maggio 2026'!AK4:AK37,MATCH("GBBMCH73R57H501G",'Maggio 2026'!B4:B37,0)),0)+IFERROR(INDEX('Giugno 2026'!AJ4:AJ37,MATCH("GBBMCH73R57H501G",'Giugno 2026'!B4:B37,0)),0)+IFERROR(INDEX('Luglio 2026'!AK4:AK37,MATCH("GBBMCH73R57H501G",'Luglio 2026'!B4:B37,0)),0)+IFERROR(INDEX('Agosto 2026'!AK4:AK37,MATCH("GBBMCH73R57H501G",'Agosto 2026'!B4:B37,0)),0)+IFERROR(INDEX('Settembre 2026'!AJ4:AJ37,MATCH("GBBMCH73R57H501G",'Settembre 2026'!B4:B37,0)),0)</f>
        <v/>
      </c>
      <c r="L11" s="6">
        <f>IF(75=0,0,MIN((J11*24)/150,1))</f>
        <v/>
      </c>
      <c r="M11" s="3" t="inlineStr">
        <is>
          <t>GDPR e nuove normative Europee; Introduzione al mondo di Microsoft office 365; Microsoft 365: Outlook desktop corso completo; Microsoft 365: Data Modeling con Power Query; Microsoft 365: elementi avanzati, suggerimenti e trucchi in PowerPoint; I sistemi informatici</t>
        </is>
      </c>
      <c r="N11" s="4" t="n">
        <v>12.31637023255814</v>
      </c>
      <c r="O11" s="4" t="n">
        <v>6.138145553425757</v>
      </c>
      <c r="P11" s="7">
        <f>(N11+O11)*J11*24</f>
        <v/>
      </c>
    </row>
    <row r="12" ht="20.1" customHeight="1">
      <c r="A12" s="3" t="inlineStr">
        <is>
          <t>LIMETTI ION</t>
        </is>
      </c>
      <c r="B12" s="4" t="inlineStr">
        <is>
          <t>LMTNIO94M03Z129S</t>
        </is>
      </c>
      <c r="C12" s="3" t="inlineStr">
        <is>
          <t>Big Data - Tecninf - Fondoconoscenza</t>
        </is>
      </c>
      <c r="J12" s="5">
        <f>IFERROR(INDEX('Aprile 2026'!AH4:AH37,MATCH("LMTNIO94M03Z129S",'Aprile 2026'!B4:B37,0)),0)+IFERROR(INDEX('Maggio 2026'!AI4:AI37,MATCH("LMTNIO94M03Z129S",'Maggio 2026'!B4:B37,0)),0)+IFERROR(INDEX('Giugno 2026'!AH4:AH37,MATCH("LMTNIO94M03Z129S",'Giugno 2026'!B4:B37,0)),0)+IFERROR(INDEX('Luglio 2026'!AI4:AI37,MATCH("LMTNIO94M03Z129S",'Luglio 2026'!B4:B37,0)),0)+IFERROR(INDEX('Agosto 2026'!AI4:AI37,MATCH("LMTNIO94M03Z129S",'Agosto 2026'!B4:B37,0)),0)+IFERROR(INDEX('Settembre 2026'!AH4:AH37,MATCH("LMTNIO94M03Z129S",'Settembre 2026'!B4:B37,0)),0)</f>
        <v/>
      </c>
      <c r="K12" s="5">
        <f>IFERROR(INDEX('Aprile 2026'!AJ4:AJ37,MATCH("LMTNIO94M03Z129S",'Aprile 2026'!B4:B37,0)),0)+IFERROR(INDEX('Maggio 2026'!AK4:AK37,MATCH("LMTNIO94M03Z129S",'Maggio 2026'!B4:B37,0)),0)+IFERROR(INDEX('Giugno 2026'!AJ4:AJ37,MATCH("LMTNIO94M03Z129S",'Giugno 2026'!B4:B37,0)),0)+IFERROR(INDEX('Luglio 2026'!AK4:AK37,MATCH("LMTNIO94M03Z129S",'Luglio 2026'!B4:B37,0)),0)+IFERROR(INDEX('Agosto 2026'!AK4:AK37,MATCH("LMTNIO94M03Z129S",'Agosto 2026'!B4:B37,0)),0)+IFERROR(INDEX('Settembre 2026'!AJ4:AJ37,MATCH("LMTNIO94M03Z129S",'Settembre 2026'!B4:B37,0)),0)</f>
        <v/>
      </c>
      <c r="L12" s="6">
        <f>IF(75=0,0,MIN((J12*24)/150,1))</f>
        <v/>
      </c>
      <c r="M12" s="3" t="inlineStr">
        <is>
          <t>GDPR e nuove normative Europee; Big data e analisi predittiva; I Big data in ambito finanziario; Natural Language Processing con Python; Big Data Analytics con Python e Spark</t>
        </is>
      </c>
      <c r="N12" s="4" t="n">
        <v>10.87692613953488</v>
      </c>
      <c r="O12" s="4" t="n">
        <v>5.420755321932365</v>
      </c>
      <c r="P12" s="7">
        <f>(N12+O12)*J12*24</f>
        <v/>
      </c>
    </row>
    <row r="13" ht="20.1" customHeight="1">
      <c r="A13" s="3" t="inlineStr">
        <is>
          <t>LUCA' VERONICA</t>
        </is>
      </c>
      <c r="B13" s="4" t="inlineStr">
        <is>
          <t>LCUVNC85L52D976T</t>
        </is>
      </c>
      <c r="C13" s="3" t="inlineStr">
        <is>
          <t>Big Data - Tecninf - Fondoconoscenza</t>
        </is>
      </c>
      <c r="J13" s="5">
        <f>IFERROR(INDEX('Aprile 2026'!AH4:AH37,MATCH("LCUVNC85L52D976T",'Aprile 2026'!B4:B37,0)),0)+IFERROR(INDEX('Maggio 2026'!AI4:AI37,MATCH("LCUVNC85L52D976T",'Maggio 2026'!B4:B37,0)),0)+IFERROR(INDEX('Giugno 2026'!AH4:AH37,MATCH("LCUVNC85L52D976T",'Giugno 2026'!B4:B37,0)),0)+IFERROR(INDEX('Luglio 2026'!AI4:AI37,MATCH("LCUVNC85L52D976T",'Luglio 2026'!B4:B37,0)),0)+IFERROR(INDEX('Agosto 2026'!AI4:AI37,MATCH("LCUVNC85L52D976T",'Agosto 2026'!B4:B37,0)),0)+IFERROR(INDEX('Settembre 2026'!AH4:AH37,MATCH("LCUVNC85L52D976T",'Settembre 2026'!B4:B37,0)),0)</f>
        <v/>
      </c>
      <c r="K13" s="5">
        <f>IFERROR(INDEX('Aprile 2026'!AJ4:AJ37,MATCH("LCUVNC85L52D976T",'Aprile 2026'!B4:B37,0)),0)+IFERROR(INDEX('Maggio 2026'!AK4:AK37,MATCH("LCUVNC85L52D976T",'Maggio 2026'!B4:B37,0)),0)+IFERROR(INDEX('Giugno 2026'!AJ4:AJ37,MATCH("LCUVNC85L52D976T",'Giugno 2026'!B4:B37,0)),0)+IFERROR(INDEX('Luglio 2026'!AK4:AK37,MATCH("LCUVNC85L52D976T",'Luglio 2026'!B4:B37,0)),0)+IFERROR(INDEX('Agosto 2026'!AK4:AK37,MATCH("LCUVNC85L52D976T",'Agosto 2026'!B4:B37,0)),0)+IFERROR(INDEX('Settembre 2026'!AJ4:AJ37,MATCH("LCUVNC85L52D976T",'Settembre 2026'!B4:B37,0)),0)</f>
        <v/>
      </c>
      <c r="L13" s="6">
        <f>IF(75=0,0,MIN((J13*24)/150,1))</f>
        <v/>
      </c>
      <c r="M13" s="3" t="inlineStr">
        <is>
          <t>Big data e analisi predittiva</t>
        </is>
      </c>
      <c r="N13" s="4" t="n">
        <v>10.42583274418605</v>
      </c>
      <c r="O13" s="4" t="n">
        <v>3.783118027213908</v>
      </c>
      <c r="P13" s="7">
        <f>(N13+O13)*J13*24</f>
        <v/>
      </c>
    </row>
    <row r="14" ht="20.1" customHeight="1">
      <c r="A14" s="3" t="inlineStr">
        <is>
          <t>MAGNANINI LORENZO</t>
        </is>
      </c>
      <c r="B14" s="4" t="inlineStr">
        <is>
          <t>MGNLNZ97M04H501T</t>
        </is>
      </c>
      <c r="C14" s="3" t="inlineStr">
        <is>
          <t>La programmazione - Tecninf - Fondoconoscenza</t>
        </is>
      </c>
      <c r="J14" s="5">
        <f>IFERROR(INDEX('Aprile 2026'!AH4:AH37,MATCH("MGNLNZ97M04H501T",'Aprile 2026'!B4:B37,0)),0)+IFERROR(INDEX('Maggio 2026'!AI4:AI37,MATCH("MGNLNZ97M04H501T",'Maggio 2026'!B4:B37,0)),0)+IFERROR(INDEX('Giugno 2026'!AH4:AH37,MATCH("MGNLNZ97M04H501T",'Giugno 2026'!B4:B37,0)),0)+IFERROR(INDEX('Luglio 2026'!AI4:AI37,MATCH("MGNLNZ97M04H501T",'Luglio 2026'!B4:B37,0)),0)+IFERROR(INDEX('Agosto 2026'!AI4:AI37,MATCH("MGNLNZ97M04H501T",'Agosto 2026'!B4:B37,0)),0)+IFERROR(INDEX('Settembre 2026'!AH4:AH37,MATCH("MGNLNZ97M04H501T",'Settembre 2026'!B4:B37,0)),0)</f>
        <v/>
      </c>
      <c r="K14" s="5">
        <f>IFERROR(INDEX('Aprile 2026'!AJ4:AJ37,MATCH("MGNLNZ97M04H501T",'Aprile 2026'!B4:B37,0)),0)+IFERROR(INDEX('Maggio 2026'!AK4:AK37,MATCH("MGNLNZ97M04H501T",'Maggio 2026'!B4:B37,0)),0)+IFERROR(INDEX('Giugno 2026'!AJ4:AJ37,MATCH("MGNLNZ97M04H501T",'Giugno 2026'!B4:B37,0)),0)+IFERROR(INDEX('Luglio 2026'!AK4:AK37,MATCH("MGNLNZ97M04H501T",'Luglio 2026'!B4:B37,0)),0)+IFERROR(INDEX('Agosto 2026'!AK4:AK37,MATCH("MGNLNZ97M04H501T",'Agosto 2026'!B4:B37,0)),0)+IFERROR(INDEX('Settembre 2026'!AJ4:AJ37,MATCH("MGNLNZ97M04H501T",'Settembre 2026'!B4:B37,0)),0)</f>
        <v/>
      </c>
      <c r="L14" s="6">
        <f>IF(75=0,0,MIN((J14*24)/150,1))</f>
        <v/>
      </c>
      <c r="M14" s="3" t="inlineStr">
        <is>
          <t>I sistemi operativi; Front end base: HTML, CSS, Bootstrap; Front end avanzato: JavaScript e jQuery; Back end base: Fondamenti di PHP; Database relazionali e linguaggio SQL con PHP; Applicazioni dinamiche con PHP e MySql</t>
        </is>
      </c>
      <c r="N14" s="4" t="n">
        <v>9.731453023255815</v>
      </c>
      <c r="O14" s="4" t="n">
        <v>4.783158879615591</v>
      </c>
      <c r="P14" s="7">
        <f>(N14+O14)*J14*24</f>
        <v/>
      </c>
    </row>
    <row r="15" ht="20.1" customHeight="1">
      <c r="A15" s="3" t="inlineStr">
        <is>
          <t>MARIANI ALESSIA</t>
        </is>
      </c>
      <c r="B15" s="4" t="inlineStr">
        <is>
          <t>MRNLSS75L68H501L</t>
        </is>
      </c>
      <c r="C15" s="3" t="inlineStr">
        <is>
          <t>Big Data - Tecninf - Fondoconoscenza</t>
        </is>
      </c>
      <c r="J15" s="5">
        <f>IFERROR(INDEX('Aprile 2026'!AH4:AH37,MATCH("MRNLSS75L68H501L",'Aprile 2026'!B4:B37,0)),0)+IFERROR(INDEX('Maggio 2026'!AI4:AI37,MATCH("MRNLSS75L68H501L",'Maggio 2026'!B4:B37,0)),0)+IFERROR(INDEX('Giugno 2026'!AH4:AH37,MATCH("MRNLSS75L68H501L",'Giugno 2026'!B4:B37,0)),0)+IFERROR(INDEX('Luglio 2026'!AI4:AI37,MATCH("MRNLSS75L68H501L",'Luglio 2026'!B4:B37,0)),0)+IFERROR(INDEX('Agosto 2026'!AI4:AI37,MATCH("MRNLSS75L68H501L",'Agosto 2026'!B4:B37,0)),0)+IFERROR(INDEX('Settembre 2026'!AH4:AH37,MATCH("MRNLSS75L68H501L",'Settembre 2026'!B4:B37,0)),0)</f>
        <v/>
      </c>
      <c r="K15" s="5">
        <f>IFERROR(INDEX('Aprile 2026'!AJ4:AJ37,MATCH("MRNLSS75L68H501L",'Aprile 2026'!B4:B37,0)),0)+IFERROR(INDEX('Maggio 2026'!AK4:AK37,MATCH("MRNLSS75L68H501L",'Maggio 2026'!B4:B37,0)),0)+IFERROR(INDEX('Giugno 2026'!AJ4:AJ37,MATCH("MRNLSS75L68H501L",'Giugno 2026'!B4:B37,0)),0)+IFERROR(INDEX('Luglio 2026'!AK4:AK37,MATCH("MRNLSS75L68H501L",'Luglio 2026'!B4:B37,0)),0)+IFERROR(INDEX('Agosto 2026'!AK4:AK37,MATCH("MRNLSS75L68H501L",'Agosto 2026'!B4:B37,0)),0)+IFERROR(INDEX('Settembre 2026'!AJ4:AJ37,MATCH("MRNLSS75L68H501L",'Settembre 2026'!B4:B37,0)),0)</f>
        <v/>
      </c>
      <c r="L15" s="6">
        <f>IF(75=0,0,MIN((J15*24)/150,1))</f>
        <v/>
      </c>
      <c r="M15" s="3" t="inlineStr">
        <is>
          <t>GDPR e nuove normative Europee; Big data e analisi predittiva; Business Intelligence e analisi predittiva; Database relazionali e linguaggio SQL con PHP; Il Machine Learning con Python; Big Data Analytics con Python e Spark</t>
        </is>
      </c>
      <c r="N15" s="4" t="n">
        <v>10.87692613953488</v>
      </c>
      <c r="O15" s="4" t="n">
        <v>5.346173926583528</v>
      </c>
      <c r="P15" s="7">
        <f>(N15+O15)*J15*24</f>
        <v/>
      </c>
    </row>
    <row r="16" ht="20.1" customHeight="1">
      <c r="A16" s="3" t="inlineStr">
        <is>
          <t>MASCELLINO GIULIO</t>
        </is>
      </c>
      <c r="B16" s="4" t="inlineStr">
        <is>
          <t>MSCGLI83C04G511L</t>
        </is>
      </c>
      <c r="C16" s="3" t="inlineStr">
        <is>
          <t>Big Data - Tecninf - Fondoconoscenza</t>
        </is>
      </c>
      <c r="J16" s="5">
        <f>IFERROR(INDEX('Aprile 2026'!AH4:AH37,MATCH("MSCGLI83C04G511L",'Aprile 2026'!B4:B37,0)),0)+IFERROR(INDEX('Maggio 2026'!AI4:AI37,MATCH("MSCGLI83C04G511L",'Maggio 2026'!B4:B37,0)),0)+IFERROR(INDEX('Giugno 2026'!AH4:AH37,MATCH("MSCGLI83C04G511L",'Giugno 2026'!B4:B37,0)),0)+IFERROR(INDEX('Luglio 2026'!AI4:AI37,MATCH("MSCGLI83C04G511L",'Luglio 2026'!B4:B37,0)),0)+IFERROR(INDEX('Agosto 2026'!AI4:AI37,MATCH("MSCGLI83C04G511L",'Agosto 2026'!B4:B37,0)),0)+IFERROR(INDEX('Settembre 2026'!AH4:AH37,MATCH("MSCGLI83C04G511L",'Settembre 2026'!B4:B37,0)),0)</f>
        <v/>
      </c>
      <c r="K16" s="5">
        <f>IFERROR(INDEX('Aprile 2026'!AJ4:AJ37,MATCH("MSCGLI83C04G511L",'Aprile 2026'!B4:B37,0)),0)+IFERROR(INDEX('Maggio 2026'!AK4:AK37,MATCH("MSCGLI83C04G511L",'Maggio 2026'!B4:B37,0)),0)+IFERROR(INDEX('Giugno 2026'!AJ4:AJ37,MATCH("MSCGLI83C04G511L",'Giugno 2026'!B4:B37,0)),0)+IFERROR(INDEX('Luglio 2026'!AK4:AK37,MATCH("MSCGLI83C04G511L",'Luglio 2026'!B4:B37,0)),0)+IFERROR(INDEX('Agosto 2026'!AK4:AK37,MATCH("MSCGLI83C04G511L",'Agosto 2026'!B4:B37,0)),0)+IFERROR(INDEX('Settembre 2026'!AJ4:AJ37,MATCH("MSCGLI83C04G511L",'Settembre 2026'!B4:B37,0)),0)</f>
        <v/>
      </c>
      <c r="L16" s="6">
        <f>IF(75=0,0,MIN((J16*24)/150,1))</f>
        <v/>
      </c>
      <c r="M16" s="3" t="inlineStr">
        <is>
          <t>Big data e analisi predittiva</t>
        </is>
      </c>
      <c r="N16" s="4" t="n">
        <v>19.584</v>
      </c>
      <c r="O16" s="4" t="n">
        <v>8.85</v>
      </c>
      <c r="P16" s="7">
        <f>(N16+O16)*J16*24</f>
        <v/>
      </c>
    </row>
    <row r="17" ht="20.1" customHeight="1">
      <c r="A17" s="3" t="inlineStr">
        <is>
          <t>PACPACO MICHAEL DEPOLLY</t>
        </is>
      </c>
      <c r="B17" s="4" t="inlineStr">
        <is>
          <t>PCPMHL00R03H501G</t>
        </is>
      </c>
      <c r="C17" s="3" t="inlineStr">
        <is>
          <t>La programmazione - Tecninf - Fondoconoscenza</t>
        </is>
      </c>
      <c r="J17" s="5">
        <f>IFERROR(INDEX('Aprile 2026'!AH4:AH37,MATCH("PCPMHL00R03H501G",'Aprile 2026'!B4:B37,0)),0)+IFERROR(INDEX('Maggio 2026'!AI4:AI37,MATCH("PCPMHL00R03H501G",'Maggio 2026'!B4:B37,0)),0)+IFERROR(INDEX('Giugno 2026'!AH4:AH37,MATCH("PCPMHL00R03H501G",'Giugno 2026'!B4:B37,0)),0)+IFERROR(INDEX('Luglio 2026'!AI4:AI37,MATCH("PCPMHL00R03H501G",'Luglio 2026'!B4:B37,0)),0)+IFERROR(INDEX('Agosto 2026'!AI4:AI37,MATCH("PCPMHL00R03H501G",'Agosto 2026'!B4:B37,0)),0)+IFERROR(INDEX('Settembre 2026'!AH4:AH37,MATCH("PCPMHL00R03H501G",'Settembre 2026'!B4:B37,0)),0)</f>
        <v/>
      </c>
      <c r="K17" s="5">
        <f>IFERROR(INDEX('Aprile 2026'!AJ4:AJ37,MATCH("PCPMHL00R03H501G",'Aprile 2026'!B4:B37,0)),0)+IFERROR(INDEX('Maggio 2026'!AK4:AK37,MATCH("PCPMHL00R03H501G",'Maggio 2026'!B4:B37,0)),0)+IFERROR(INDEX('Giugno 2026'!AJ4:AJ37,MATCH("PCPMHL00R03H501G",'Giugno 2026'!B4:B37,0)),0)+IFERROR(INDEX('Luglio 2026'!AK4:AK37,MATCH("PCPMHL00R03H501G",'Luglio 2026'!B4:B37,0)),0)+IFERROR(INDEX('Agosto 2026'!AK4:AK37,MATCH("PCPMHL00R03H501G",'Agosto 2026'!B4:B37,0)),0)+IFERROR(INDEX('Settembre 2026'!AJ4:AJ37,MATCH("PCPMHL00R03H501G",'Settembre 2026'!B4:B37,0)),0)</f>
        <v/>
      </c>
      <c r="L17" s="6">
        <f>IF(75=0,0,MIN((J17*24)/150,1))</f>
        <v/>
      </c>
      <c r="M17" s="3" t="inlineStr">
        <is>
          <t>GDPR e nuove normative Europee; Linguaggi di programmazione; Back end base: Fondamenti di PHP; Applicazioni dinamiche con PHP e MySql</t>
        </is>
      </c>
      <c r="N17" s="4" t="n">
        <v>8.746046511627904</v>
      </c>
      <c r="O17" s="4" t="n">
        <v>2.093632948739695</v>
      </c>
      <c r="P17" s="7">
        <f>(N17+O17)*J17*24</f>
        <v/>
      </c>
    </row>
    <row r="18" ht="20.1" customHeight="1">
      <c r="A18" s="3" t="inlineStr">
        <is>
          <t>PASSIO ROBERTA</t>
        </is>
      </c>
      <c r="B18" s="4" t="inlineStr">
        <is>
          <t>PSSRRT76L56H501O</t>
        </is>
      </c>
      <c r="C18" s="3" t="inlineStr">
        <is>
          <t>Sicurezza Informatica - Tecninf - Fondoconoscenza</t>
        </is>
      </c>
      <c r="J18" s="5">
        <f>IFERROR(INDEX('Aprile 2026'!AH4:AH37,MATCH("PSSRRT76L56H501O",'Aprile 2026'!B4:B37,0)),0)+IFERROR(INDEX('Maggio 2026'!AI4:AI37,MATCH("PSSRRT76L56H501O",'Maggio 2026'!B4:B37,0)),0)+IFERROR(INDEX('Giugno 2026'!AH4:AH37,MATCH("PSSRRT76L56H501O",'Giugno 2026'!B4:B37,0)),0)+IFERROR(INDEX('Luglio 2026'!AI4:AI37,MATCH("PSSRRT76L56H501O",'Luglio 2026'!B4:B37,0)),0)+IFERROR(INDEX('Agosto 2026'!AI4:AI37,MATCH("PSSRRT76L56H501O",'Agosto 2026'!B4:B37,0)),0)+IFERROR(INDEX('Settembre 2026'!AH4:AH37,MATCH("PSSRRT76L56H501O",'Settembre 2026'!B4:B37,0)),0)</f>
        <v/>
      </c>
      <c r="K18" s="5">
        <f>IFERROR(INDEX('Aprile 2026'!AJ4:AJ37,MATCH("PSSRRT76L56H501O",'Aprile 2026'!B4:B37,0)),0)+IFERROR(INDEX('Maggio 2026'!AK4:AK37,MATCH("PSSRRT76L56H501O",'Maggio 2026'!B4:B37,0)),0)+IFERROR(INDEX('Giugno 2026'!AJ4:AJ37,MATCH("PSSRRT76L56H501O",'Giugno 2026'!B4:B37,0)),0)+IFERROR(INDEX('Luglio 2026'!AK4:AK37,MATCH("PSSRRT76L56H501O",'Luglio 2026'!B4:B37,0)),0)+IFERROR(INDEX('Agosto 2026'!AK4:AK37,MATCH("PSSRRT76L56H501O",'Agosto 2026'!B4:B37,0)),0)+IFERROR(INDEX('Settembre 2026'!AJ4:AJ37,MATCH("PSSRRT76L56H501O",'Settembre 2026'!B4:B37,0)),0)</f>
        <v/>
      </c>
      <c r="L18" s="6">
        <f>IF(75=0,0,MIN((J18*24)/150,1))</f>
        <v/>
      </c>
      <c r="M18" s="3" t="inlineStr">
        <is>
          <t>GDPR e nuove normative Europee; Elementi base di sicurezza informatica; Virus e Antivirus per tutti; La Cyber Security; La Network Security; Cloud e Fog Computing; I sistemi cyber fisici; Internet delle Cose e delle Macchine; Gli attacchi tramite Ransomware</t>
        </is>
      </c>
      <c r="N18" s="4" t="n">
        <v>12.31637023255814</v>
      </c>
      <c r="O18" s="4" t="n">
        <v>6.138145553425757</v>
      </c>
      <c r="P18" s="7">
        <f>(N18+O18)*J18*24</f>
        <v/>
      </c>
    </row>
    <row r="19" ht="20.1" customHeight="1">
      <c r="A19" s="3" t="inlineStr">
        <is>
          <t>PERILLA GIAN LEO GAMES</t>
        </is>
      </c>
      <c r="B19" s="4" t="inlineStr">
        <is>
          <t>PRLGLG98M18H501X</t>
        </is>
      </c>
      <c r="C19" s="3" t="inlineStr">
        <is>
          <t>Big Data - Tecninf - Fondoconoscenza</t>
        </is>
      </c>
      <c r="J19" s="5">
        <f>IFERROR(INDEX('Aprile 2026'!AH4:AH37,MATCH("PRLGLG98M18H501X",'Aprile 2026'!B4:B37,0)),0)+IFERROR(INDEX('Maggio 2026'!AI4:AI37,MATCH("PRLGLG98M18H501X",'Maggio 2026'!B4:B37,0)),0)+IFERROR(INDEX('Giugno 2026'!AH4:AH37,MATCH("PRLGLG98M18H501X",'Giugno 2026'!B4:B37,0)),0)+IFERROR(INDEX('Luglio 2026'!AI4:AI37,MATCH("PRLGLG98M18H501X",'Luglio 2026'!B4:B37,0)),0)+IFERROR(INDEX('Agosto 2026'!AI4:AI37,MATCH("PRLGLG98M18H501X",'Agosto 2026'!B4:B37,0)),0)+IFERROR(INDEX('Settembre 2026'!AH4:AH37,MATCH("PRLGLG98M18H501X",'Settembre 2026'!B4:B37,0)),0)</f>
        <v/>
      </c>
      <c r="K19" s="5">
        <f>IFERROR(INDEX('Aprile 2026'!AJ4:AJ37,MATCH("PRLGLG98M18H501X",'Aprile 2026'!B4:B37,0)),0)+IFERROR(INDEX('Maggio 2026'!AK4:AK37,MATCH("PRLGLG98M18H501X",'Maggio 2026'!B4:B37,0)),0)+IFERROR(INDEX('Giugno 2026'!AJ4:AJ37,MATCH("PRLGLG98M18H501X",'Giugno 2026'!B4:B37,0)),0)+IFERROR(INDEX('Luglio 2026'!AK4:AK37,MATCH("PRLGLG98M18H501X",'Luglio 2026'!B4:B37,0)),0)+IFERROR(INDEX('Agosto 2026'!AK4:AK37,MATCH("PRLGLG98M18H501X",'Agosto 2026'!B4:B37,0)),0)+IFERROR(INDEX('Settembre 2026'!AJ4:AJ37,MATCH("PRLGLG98M18H501X",'Settembre 2026'!B4:B37,0)),0)</f>
        <v/>
      </c>
      <c r="L19" s="6">
        <f>IF(75=0,0,MIN((J19*24)/150,1))</f>
        <v/>
      </c>
      <c r="M19" s="3" t="inlineStr">
        <is>
          <t>Sicurezza e Password Management</t>
        </is>
      </c>
      <c r="N19" s="4" t="n">
        <v>9.731453023255815</v>
      </c>
      <c r="O19" s="4" t="n">
        <v>4.849907445614766</v>
      </c>
      <c r="P19" s="7">
        <f>(N19+O19)*J19*24</f>
        <v/>
      </c>
    </row>
    <row r="20" ht="20.1" customHeight="1">
      <c r="A20" s="3" t="inlineStr">
        <is>
          <t>PINNA ROBERTO CAO</t>
        </is>
      </c>
      <c r="B20" s="4" t="inlineStr">
        <is>
          <t>CPNRRT66D27H501V</t>
        </is>
      </c>
      <c r="C20" s="3" t="inlineStr">
        <is>
          <t>Project Management per il digitale - Tecninf - Fondoconoscenza</t>
        </is>
      </c>
      <c r="J20" s="5">
        <f>IFERROR(INDEX('Aprile 2026'!AH4:AH37,MATCH("CPNRRT66D27H501V",'Aprile 2026'!B4:B37,0)),0)+IFERROR(INDEX('Maggio 2026'!AI4:AI37,MATCH("CPNRRT66D27H501V",'Maggio 2026'!B4:B37,0)),0)+IFERROR(INDEX('Giugno 2026'!AH4:AH37,MATCH("CPNRRT66D27H501V",'Giugno 2026'!B4:B37,0)),0)+IFERROR(INDEX('Luglio 2026'!AI4:AI37,MATCH("CPNRRT66D27H501V",'Luglio 2026'!B4:B37,0)),0)+IFERROR(INDEX('Agosto 2026'!AI4:AI37,MATCH("CPNRRT66D27H501V",'Agosto 2026'!B4:B37,0)),0)+IFERROR(INDEX('Settembre 2026'!AH4:AH37,MATCH("CPNRRT66D27H501V",'Settembre 2026'!B4:B37,0)),0)</f>
        <v/>
      </c>
      <c r="K20" s="5">
        <f>IFERROR(INDEX('Aprile 2026'!AJ4:AJ37,MATCH("CPNRRT66D27H501V",'Aprile 2026'!B4:B37,0)),0)+IFERROR(INDEX('Maggio 2026'!AK4:AK37,MATCH("CPNRRT66D27H501V",'Maggio 2026'!B4:B37,0)),0)+IFERROR(INDEX('Giugno 2026'!AJ4:AJ37,MATCH("CPNRRT66D27H501V",'Giugno 2026'!B4:B37,0)),0)+IFERROR(INDEX('Luglio 2026'!AK4:AK37,MATCH("CPNRRT66D27H501V",'Luglio 2026'!B4:B37,0)),0)+IFERROR(INDEX('Agosto 2026'!AK4:AK37,MATCH("CPNRRT66D27H501V",'Agosto 2026'!B4:B37,0)),0)+IFERROR(INDEX('Settembre 2026'!AJ4:AJ37,MATCH("CPNRRT66D27H501V",'Settembre 2026'!B4:B37,0)),0)</f>
        <v/>
      </c>
      <c r="L20" s="6">
        <f>IF(75=0,0,MIN((J20*24)/150,1))</f>
        <v/>
      </c>
      <c r="M20" s="3" t="inlineStr">
        <is>
          <t>Ottimizzare ed organizzare i meeting online; Gli approcci nel Problem Solving; Comprensione di una struttura organizzativa; Guidare un team con l'intelligenza emotiva; Fondamenti di Project Management; Predictive-Waterfall e lo sviluppo di un progetto; Comunicazione aziendale e risoluzione dei conflitti; Skills e competenze per comunicare in azienda</t>
        </is>
      </c>
      <c r="N20" s="4" t="n">
        <v>14.36403013953489</v>
      </c>
      <c r="O20" s="4" t="n">
        <v>7.15867607196776</v>
      </c>
      <c r="P20" s="7">
        <f>(N20+O20)*J20*24</f>
        <v/>
      </c>
    </row>
    <row r="21" ht="20.1" customHeight="1">
      <c r="A21" s="3" t="inlineStr">
        <is>
          <t>POGGI ROBERTO</t>
        </is>
      </c>
      <c r="B21" s="4" t="inlineStr">
        <is>
          <t>PGGRRT91H07F839Q</t>
        </is>
      </c>
      <c r="C21" s="3" t="inlineStr">
        <is>
          <t>Big Data - Tecninf - Fondoconoscenza</t>
        </is>
      </c>
      <c r="J21" s="5">
        <f>IFERROR(INDEX('Aprile 2026'!AH4:AH37,MATCH("PGGRRT91H07F839Q",'Aprile 2026'!B4:B37,0)),0)+IFERROR(INDEX('Maggio 2026'!AI4:AI37,MATCH("PGGRRT91H07F839Q",'Maggio 2026'!B4:B37,0)),0)+IFERROR(INDEX('Giugno 2026'!AH4:AH37,MATCH("PGGRRT91H07F839Q",'Giugno 2026'!B4:B37,0)),0)+IFERROR(INDEX('Luglio 2026'!AI4:AI37,MATCH("PGGRRT91H07F839Q",'Luglio 2026'!B4:B37,0)),0)+IFERROR(INDEX('Agosto 2026'!AI4:AI37,MATCH("PGGRRT91H07F839Q",'Agosto 2026'!B4:B37,0)),0)+IFERROR(INDEX('Settembre 2026'!AH4:AH37,MATCH("PGGRRT91H07F839Q",'Settembre 2026'!B4:B37,0)),0)</f>
        <v/>
      </c>
      <c r="K21" s="5">
        <f>IFERROR(INDEX('Aprile 2026'!AJ4:AJ37,MATCH("PGGRRT91H07F839Q",'Aprile 2026'!B4:B37,0)),0)+IFERROR(INDEX('Maggio 2026'!AK4:AK37,MATCH("PGGRRT91H07F839Q",'Maggio 2026'!B4:B37,0)),0)+IFERROR(INDEX('Giugno 2026'!AJ4:AJ37,MATCH("PGGRRT91H07F839Q",'Giugno 2026'!B4:B37,0)),0)+IFERROR(INDEX('Luglio 2026'!AK4:AK37,MATCH("PGGRRT91H07F839Q",'Luglio 2026'!B4:B37,0)),0)+IFERROR(INDEX('Agosto 2026'!AK4:AK37,MATCH("PGGRRT91H07F839Q",'Agosto 2026'!B4:B37,0)),0)+IFERROR(INDEX('Settembre 2026'!AJ4:AJ37,MATCH("PGGRRT91H07F839Q",'Settembre 2026'!B4:B37,0)),0)</f>
        <v/>
      </c>
      <c r="L21" s="6">
        <f>IF(75=0,0,MIN((J21*24)/150,1))</f>
        <v/>
      </c>
      <c r="M21" s="3" t="inlineStr">
        <is>
          <t>GDPR e nuove normative Europee; Big Data Analytics con Python e Spark; Progettare autorizzazioni e autentificazioni; Sicurezza e Password Management</t>
        </is>
      </c>
      <c r="N21" s="4" t="n">
        <v>10.87692613953488</v>
      </c>
      <c r="O21" s="4" t="n">
        <v>5.420755321932365</v>
      </c>
      <c r="P21" s="7">
        <f>(N21+O21)*J21*24</f>
        <v/>
      </c>
    </row>
    <row r="22" ht="20.1" customHeight="1">
      <c r="A22" s="3" t="inlineStr">
        <is>
          <t>PRASAD RAKESH KUMAR</t>
        </is>
      </c>
      <c r="B22" s="4" t="inlineStr">
        <is>
          <t>PRSRSH87S19H501S</t>
        </is>
      </c>
      <c r="C22" s="3" t="inlineStr">
        <is>
          <t>Sicurezza Informatica - Tecninf - Fondoconoscenza</t>
        </is>
      </c>
      <c r="J22" s="5">
        <f>IFERROR(INDEX('Aprile 2026'!AH4:AH37,MATCH("PRSRSH87S19H501S",'Aprile 2026'!B4:B37,0)),0)+IFERROR(INDEX('Maggio 2026'!AI4:AI37,MATCH("PRSRSH87S19H501S",'Maggio 2026'!B4:B37,0)),0)+IFERROR(INDEX('Giugno 2026'!AH4:AH37,MATCH("PRSRSH87S19H501S",'Giugno 2026'!B4:B37,0)),0)+IFERROR(INDEX('Luglio 2026'!AI4:AI37,MATCH("PRSRSH87S19H501S",'Luglio 2026'!B4:B37,0)),0)+IFERROR(INDEX('Agosto 2026'!AI4:AI37,MATCH("PRSRSH87S19H501S",'Agosto 2026'!B4:B37,0)),0)+IFERROR(INDEX('Settembre 2026'!AH4:AH37,MATCH("PRSRSH87S19H501S",'Settembre 2026'!B4:B37,0)),0)</f>
        <v/>
      </c>
      <c r="K22" s="5">
        <f>IFERROR(INDEX('Aprile 2026'!AJ4:AJ37,MATCH("PRSRSH87S19H501S",'Aprile 2026'!B4:B37,0)),0)+IFERROR(INDEX('Maggio 2026'!AK4:AK37,MATCH("PRSRSH87S19H501S",'Maggio 2026'!B4:B37,0)),0)+IFERROR(INDEX('Giugno 2026'!AJ4:AJ37,MATCH("PRSRSH87S19H501S",'Giugno 2026'!B4:B37,0)),0)+IFERROR(INDEX('Luglio 2026'!AK4:AK37,MATCH("PRSRSH87S19H501S",'Luglio 2026'!B4:B37,0)),0)+IFERROR(INDEX('Agosto 2026'!AK4:AK37,MATCH("PRSRSH87S19H501S",'Agosto 2026'!B4:B37,0)),0)+IFERROR(INDEX('Settembre 2026'!AJ4:AJ37,MATCH("PRSRSH87S19H501S",'Settembre 2026'!B4:B37,0)),0)</f>
        <v/>
      </c>
      <c r="L22" s="6">
        <f>IF(75=0,0,MIN((J22*24)/150,1))</f>
        <v/>
      </c>
      <c r="M22" s="3" t="inlineStr">
        <is>
          <t>La Cyber Security; Cloud e Fog Computing</t>
        </is>
      </c>
      <c r="N22" s="4" t="n">
        <v>12.41267106976744</v>
      </c>
      <c r="O22" s="4" t="n">
        <v>6.186176741112714</v>
      </c>
      <c r="P22" s="7">
        <f>(N22+O22)*J22*24</f>
        <v/>
      </c>
    </row>
    <row r="23" ht="20.1" customHeight="1">
      <c r="A23" s="3" t="inlineStr">
        <is>
          <t>PUDDU RAIMONDO</t>
        </is>
      </c>
      <c r="B23" s="4" t="inlineStr">
        <is>
          <t>PDDRND75R08H501S</t>
        </is>
      </c>
      <c r="C23" s="3" t="inlineStr">
        <is>
          <t>Big Data - Tecninf - Fondoconoscenza</t>
        </is>
      </c>
      <c r="J23" s="5">
        <f>IFERROR(INDEX('Aprile 2026'!AH4:AH37,MATCH("PDDRND75R08H501S",'Aprile 2026'!B4:B37,0)),0)+IFERROR(INDEX('Maggio 2026'!AI4:AI37,MATCH("PDDRND75R08H501S",'Maggio 2026'!B4:B37,0)),0)+IFERROR(INDEX('Giugno 2026'!AH4:AH37,MATCH("PDDRND75R08H501S",'Giugno 2026'!B4:B37,0)),0)+IFERROR(INDEX('Luglio 2026'!AI4:AI37,MATCH("PDDRND75R08H501S",'Luglio 2026'!B4:B37,0)),0)+IFERROR(INDEX('Agosto 2026'!AI4:AI37,MATCH("PDDRND75R08H501S",'Agosto 2026'!B4:B37,0)),0)+IFERROR(INDEX('Settembre 2026'!AH4:AH37,MATCH("PDDRND75R08H501S",'Settembre 2026'!B4:B37,0)),0)</f>
        <v/>
      </c>
      <c r="K23" s="5">
        <f>IFERROR(INDEX('Aprile 2026'!AJ4:AJ37,MATCH("PDDRND75R08H501S",'Aprile 2026'!B4:B37,0)),0)+IFERROR(INDEX('Maggio 2026'!AK4:AK37,MATCH("PDDRND75R08H501S",'Maggio 2026'!B4:B37,0)),0)+IFERROR(INDEX('Giugno 2026'!AJ4:AJ37,MATCH("PDDRND75R08H501S",'Giugno 2026'!B4:B37,0)),0)+IFERROR(INDEX('Luglio 2026'!AK4:AK37,MATCH("PDDRND75R08H501S",'Luglio 2026'!B4:B37,0)),0)+IFERROR(INDEX('Agosto 2026'!AK4:AK37,MATCH("PDDRND75R08H501S",'Agosto 2026'!B4:B37,0)),0)+IFERROR(INDEX('Settembre 2026'!AJ4:AJ37,MATCH("PDDRND75R08H501S",'Settembre 2026'!B4:B37,0)),0)</f>
        <v/>
      </c>
      <c r="L23" s="6">
        <f>IF(75=0,0,MIN((J23*24)/150,1))</f>
        <v/>
      </c>
      <c r="M23" s="3" t="inlineStr">
        <is>
          <t>Big data e analisi predittiva; Deep Learning e reti neurali</t>
        </is>
      </c>
      <c r="N23" s="4" t="n">
        <v>11.02898009302326</v>
      </c>
      <c r="O23" s="4" t="n">
        <v>5.496582132484965</v>
      </c>
      <c r="P23" s="7">
        <f>(N23+O23)*J23*24</f>
        <v/>
      </c>
    </row>
    <row r="24" ht="20.1" customHeight="1">
      <c r="A24" s="3" t="inlineStr">
        <is>
          <t>RANIERI FRANCESCO</t>
        </is>
      </c>
      <c r="B24" s="4" t="inlineStr">
        <is>
          <t>RNRFNC99L28H501B</t>
        </is>
      </c>
      <c r="C24" s="3" t="inlineStr">
        <is>
          <t>La programmazione - Tecninf - Fondoconoscenza</t>
        </is>
      </c>
      <c r="J24" s="5">
        <f>IFERROR(INDEX('Aprile 2026'!AH4:AH37,MATCH("RNRFNC99L28H501B",'Aprile 2026'!B4:B37,0)),0)+IFERROR(INDEX('Maggio 2026'!AI4:AI37,MATCH("RNRFNC99L28H501B",'Maggio 2026'!B4:B37,0)),0)+IFERROR(INDEX('Giugno 2026'!AH4:AH37,MATCH("RNRFNC99L28H501B",'Giugno 2026'!B4:B37,0)),0)+IFERROR(INDEX('Luglio 2026'!AI4:AI37,MATCH("RNRFNC99L28H501B",'Luglio 2026'!B4:B37,0)),0)+IFERROR(INDEX('Agosto 2026'!AI4:AI37,MATCH("RNRFNC99L28H501B",'Agosto 2026'!B4:B37,0)),0)+IFERROR(INDEX('Settembre 2026'!AH4:AH37,MATCH("RNRFNC99L28H501B",'Settembre 2026'!B4:B37,0)),0)</f>
        <v/>
      </c>
      <c r="K24" s="5">
        <f>IFERROR(INDEX('Aprile 2026'!AJ4:AJ37,MATCH("RNRFNC99L28H501B",'Aprile 2026'!B4:B37,0)),0)+IFERROR(INDEX('Maggio 2026'!AK4:AK37,MATCH("RNRFNC99L28H501B",'Maggio 2026'!B4:B37,0)),0)+IFERROR(INDEX('Giugno 2026'!AJ4:AJ37,MATCH("RNRFNC99L28H501B",'Giugno 2026'!B4:B37,0)),0)+IFERROR(INDEX('Luglio 2026'!AK4:AK37,MATCH("RNRFNC99L28H501B",'Luglio 2026'!B4:B37,0)),0)+IFERROR(INDEX('Agosto 2026'!AK4:AK37,MATCH("RNRFNC99L28H501B",'Agosto 2026'!B4:B37,0)),0)+IFERROR(INDEX('Settembre 2026'!AJ4:AJ37,MATCH("RNRFNC99L28H501B",'Settembre 2026'!B4:B37,0)),0)</f>
        <v/>
      </c>
      <c r="L24" s="6">
        <f>IF(75=0,0,MIN((J24*24)/150,1))</f>
        <v/>
      </c>
      <c r="M24" s="3" t="inlineStr">
        <is>
          <t>GDPR e nuove normative Europee; I sistemi operativi; Linguaggi di programmazione; Front end base: HTML, CSS, Bootstrap; Back end base: Fondamenti di PHP; Applicazioni dinamiche con PHP e MySql</t>
        </is>
      </c>
      <c r="N24" s="4" t="n">
        <v>9.858164651162792</v>
      </c>
      <c r="O24" s="4" t="n">
        <v>1.67451140143258</v>
      </c>
      <c r="P24" s="7">
        <f>(N24+O24)*J24*24</f>
        <v/>
      </c>
    </row>
    <row r="25" ht="20.1" customHeight="1">
      <c r="A25" s="3" t="inlineStr">
        <is>
          <t>ROSA JEREMY DELA</t>
        </is>
      </c>
      <c r="B25" s="4" t="inlineStr">
        <is>
          <t>DLRJMY02A20H501A</t>
        </is>
      </c>
      <c r="C25" s="3" t="inlineStr">
        <is>
          <t>Big Data - Tecninf - Fondoconoscenza</t>
        </is>
      </c>
      <c r="J25" s="5">
        <f>IFERROR(INDEX('Aprile 2026'!AH4:AH37,MATCH("DLRJMY02A20H501A",'Aprile 2026'!B4:B37,0)),0)+IFERROR(INDEX('Maggio 2026'!AI4:AI37,MATCH("DLRJMY02A20H501A",'Maggio 2026'!B4:B37,0)),0)+IFERROR(INDEX('Giugno 2026'!AH4:AH37,MATCH("DLRJMY02A20H501A",'Giugno 2026'!B4:B37,0)),0)+IFERROR(INDEX('Luglio 2026'!AI4:AI37,MATCH("DLRJMY02A20H501A",'Luglio 2026'!B4:B37,0)),0)+IFERROR(INDEX('Agosto 2026'!AI4:AI37,MATCH("DLRJMY02A20H501A",'Agosto 2026'!B4:B37,0)),0)+IFERROR(INDEX('Settembre 2026'!AH4:AH37,MATCH("DLRJMY02A20H501A",'Settembre 2026'!B4:B37,0)),0)</f>
        <v/>
      </c>
      <c r="K25" s="5">
        <f>IFERROR(INDEX('Aprile 2026'!AJ4:AJ37,MATCH("DLRJMY02A20H501A",'Aprile 2026'!B4:B37,0)),0)+IFERROR(INDEX('Maggio 2026'!AK4:AK37,MATCH("DLRJMY02A20H501A",'Maggio 2026'!B4:B37,0)),0)+IFERROR(INDEX('Giugno 2026'!AJ4:AJ37,MATCH("DLRJMY02A20H501A",'Giugno 2026'!B4:B37,0)),0)+IFERROR(INDEX('Luglio 2026'!AK4:AK37,MATCH("DLRJMY02A20H501A",'Luglio 2026'!B4:B37,0)),0)+IFERROR(INDEX('Agosto 2026'!AK4:AK37,MATCH("DLRJMY02A20H501A",'Agosto 2026'!B4:B37,0)),0)+IFERROR(INDEX('Settembre 2026'!AJ4:AJ37,MATCH("DLRJMY02A20H501A",'Settembre 2026'!B4:B37,0)),0)</f>
        <v/>
      </c>
      <c r="L25" s="6">
        <f>IF(75=0,0,MIN((J25*24)/150,1))</f>
        <v/>
      </c>
      <c r="M25" s="3" t="inlineStr">
        <is>
          <t>Nessuno - i corsi iniziati sono al 100%</t>
        </is>
      </c>
      <c r="N25" s="4" t="n">
        <v>8.746046511627904</v>
      </c>
      <c r="O25" s="4" t="n">
        <v>2.093632948739695</v>
      </c>
      <c r="P25" s="7">
        <f>(N25+O25)*J25*24</f>
        <v/>
      </c>
    </row>
    <row r="26" ht="20.1" customHeight="1">
      <c r="A26" s="3" t="inlineStr">
        <is>
          <t>SALPIETRO GIANLUCA</t>
        </is>
      </c>
      <c r="B26" s="4" t="inlineStr">
        <is>
          <t>SLPGLC81B17G377J</t>
        </is>
      </c>
      <c r="C26" s="3" t="inlineStr">
        <is>
          <t>Big Data - Tecninf - Fondoconoscenza</t>
        </is>
      </c>
      <c r="J26" s="5">
        <f>IFERROR(INDEX('Aprile 2026'!AH4:AH37,MATCH("SLPGLC81B17G377J",'Aprile 2026'!B4:B37,0)),0)+IFERROR(INDEX('Maggio 2026'!AI4:AI37,MATCH("SLPGLC81B17G377J",'Maggio 2026'!B4:B37,0)),0)+IFERROR(INDEX('Giugno 2026'!AH4:AH37,MATCH("SLPGLC81B17G377J",'Giugno 2026'!B4:B37,0)),0)+IFERROR(INDEX('Luglio 2026'!AI4:AI37,MATCH("SLPGLC81B17G377J",'Luglio 2026'!B4:B37,0)),0)+IFERROR(INDEX('Agosto 2026'!AI4:AI37,MATCH("SLPGLC81B17G377J",'Agosto 2026'!B4:B37,0)),0)+IFERROR(INDEX('Settembre 2026'!AH4:AH37,MATCH("SLPGLC81B17G377J",'Settembre 2026'!B4:B37,0)),0)</f>
        <v/>
      </c>
      <c r="K26" s="5">
        <f>IFERROR(INDEX('Aprile 2026'!AJ4:AJ37,MATCH("SLPGLC81B17G377J",'Aprile 2026'!B4:B37,0)),0)+IFERROR(INDEX('Maggio 2026'!AK4:AK37,MATCH("SLPGLC81B17G377J",'Maggio 2026'!B4:B37,0)),0)+IFERROR(INDEX('Giugno 2026'!AJ4:AJ37,MATCH("SLPGLC81B17G377J",'Giugno 2026'!B4:B37,0)),0)+IFERROR(INDEX('Luglio 2026'!AK4:AK37,MATCH("SLPGLC81B17G377J",'Luglio 2026'!B4:B37,0)),0)+IFERROR(INDEX('Agosto 2026'!AK4:AK37,MATCH("SLPGLC81B17G377J",'Agosto 2026'!B4:B37,0)),0)+IFERROR(INDEX('Settembre 2026'!AJ4:AJ37,MATCH("SLPGLC81B17G377J",'Settembre 2026'!B4:B37,0)),0)</f>
        <v/>
      </c>
      <c r="L26" s="6">
        <f>IF(75=0,0,MIN((J26*24)/150,1))</f>
        <v/>
      </c>
      <c r="M26" s="3" t="inlineStr">
        <is>
          <t>Big data e analisi predittiva; I Big data in ambito finanziario; Gestione avanzata di un Database; Sicurezza e Password Management</t>
        </is>
      </c>
      <c r="N26" s="4" t="n">
        <v>9.731453023255815</v>
      </c>
      <c r="O26" s="4" t="n">
        <v>4.849926321476056</v>
      </c>
      <c r="P26" s="7">
        <f>(N26+O26)*J26*24</f>
        <v/>
      </c>
    </row>
    <row r="27" ht="20.1" customHeight="1">
      <c r="A27" s="3" t="inlineStr">
        <is>
          <t>SALVATI CARMINE</t>
        </is>
      </c>
      <c r="B27" s="4" t="inlineStr">
        <is>
          <t>SLVCMN80D14D086Z</t>
        </is>
      </c>
      <c r="C27" s="3" t="inlineStr">
        <is>
          <t>Big Data - Tecninf - Fondoconoscenza</t>
        </is>
      </c>
      <c r="J27" s="5">
        <f>IFERROR(INDEX('Aprile 2026'!AH4:AH37,MATCH("SLVCMN80D14D086Z",'Aprile 2026'!B4:B37,0)),0)+IFERROR(INDEX('Maggio 2026'!AI4:AI37,MATCH("SLVCMN80D14D086Z",'Maggio 2026'!B4:B37,0)),0)+IFERROR(INDEX('Giugno 2026'!AH4:AH37,MATCH("SLVCMN80D14D086Z",'Giugno 2026'!B4:B37,0)),0)+IFERROR(INDEX('Luglio 2026'!AI4:AI37,MATCH("SLVCMN80D14D086Z",'Luglio 2026'!B4:B37,0)),0)+IFERROR(INDEX('Agosto 2026'!AI4:AI37,MATCH("SLVCMN80D14D086Z",'Agosto 2026'!B4:B37,0)),0)+IFERROR(INDEX('Settembre 2026'!AH4:AH37,MATCH("SLVCMN80D14D086Z",'Settembre 2026'!B4:B37,0)),0)</f>
        <v/>
      </c>
      <c r="K27" s="5">
        <f>IFERROR(INDEX('Aprile 2026'!AJ4:AJ37,MATCH("SLVCMN80D14D086Z",'Aprile 2026'!B4:B37,0)),0)+IFERROR(INDEX('Maggio 2026'!AK4:AK37,MATCH("SLVCMN80D14D086Z",'Maggio 2026'!B4:B37,0)),0)+IFERROR(INDEX('Giugno 2026'!AJ4:AJ37,MATCH("SLVCMN80D14D086Z",'Giugno 2026'!B4:B37,0)),0)+IFERROR(INDEX('Luglio 2026'!AK4:AK37,MATCH("SLVCMN80D14D086Z",'Luglio 2026'!B4:B37,0)),0)+IFERROR(INDEX('Agosto 2026'!AK4:AK37,MATCH("SLVCMN80D14D086Z",'Agosto 2026'!B4:B37,0)),0)+IFERROR(INDEX('Settembre 2026'!AJ4:AJ37,MATCH("SLVCMN80D14D086Z",'Settembre 2026'!B4:B37,0)),0)</f>
        <v/>
      </c>
      <c r="L27" s="6">
        <f>IF(75=0,0,MIN((J27*24)/150,1))</f>
        <v/>
      </c>
      <c r="M27" s="3" t="inlineStr">
        <is>
          <t>GDPR e nuove normative Europee; Big data e analisi predittiva; I Big data in ambito finanziario; Database relazionali e linguaggio SQL con PHP; Natural Language Processing con Python; Il Machine Learning con Python; Progettare autorizzazioni e autentificazioni; Gestione avanzata di un Database; Sicurezza e Password Management</t>
        </is>
      </c>
      <c r="N27" s="4" t="n">
        <v>11.66253823255814</v>
      </c>
      <c r="O27" s="4" t="n">
        <v>5.812305599793496</v>
      </c>
      <c r="P27" s="7">
        <f>(N27+O27)*J27*24</f>
        <v/>
      </c>
    </row>
    <row r="28" ht="20.1" customHeight="1">
      <c r="A28" s="3" t="inlineStr">
        <is>
          <t>SAMBRINI ALESSIA</t>
        </is>
      </c>
      <c r="B28" s="4" t="inlineStr">
        <is>
          <t>SMBLSS74D47H501E</t>
        </is>
      </c>
      <c r="C28" s="3" t="inlineStr">
        <is>
          <t>Big Data - Tecninf - Fondoconoscenza</t>
        </is>
      </c>
      <c r="J28" s="5">
        <f>IFERROR(INDEX('Aprile 2026'!AH4:AH37,MATCH("SMBLSS74D47H501E",'Aprile 2026'!B4:B37,0)),0)+IFERROR(INDEX('Maggio 2026'!AI4:AI37,MATCH("SMBLSS74D47H501E",'Maggio 2026'!B4:B37,0)),0)+IFERROR(INDEX('Giugno 2026'!AH4:AH37,MATCH("SMBLSS74D47H501E",'Giugno 2026'!B4:B37,0)),0)+IFERROR(INDEX('Luglio 2026'!AI4:AI37,MATCH("SMBLSS74D47H501E",'Luglio 2026'!B4:B37,0)),0)+IFERROR(INDEX('Agosto 2026'!AI4:AI37,MATCH("SMBLSS74D47H501E",'Agosto 2026'!B4:B37,0)),0)+IFERROR(INDEX('Settembre 2026'!AH4:AH37,MATCH("SMBLSS74D47H501E",'Settembre 2026'!B4:B37,0)),0)</f>
        <v/>
      </c>
      <c r="K28" s="5">
        <f>IFERROR(INDEX('Aprile 2026'!AJ4:AJ37,MATCH("SMBLSS74D47H501E",'Aprile 2026'!B4:B37,0)),0)+IFERROR(INDEX('Maggio 2026'!AK4:AK37,MATCH("SMBLSS74D47H501E",'Maggio 2026'!B4:B37,0)),0)+IFERROR(INDEX('Giugno 2026'!AJ4:AJ37,MATCH("SMBLSS74D47H501E",'Giugno 2026'!B4:B37,0)),0)+IFERROR(INDEX('Luglio 2026'!AK4:AK37,MATCH("SMBLSS74D47H501E",'Luglio 2026'!B4:B37,0)),0)+IFERROR(INDEX('Agosto 2026'!AK4:AK37,MATCH("SMBLSS74D47H501E",'Agosto 2026'!B4:B37,0)),0)+IFERROR(INDEX('Settembre 2026'!AJ4:AJ37,MATCH("SMBLSS74D47H501E",'Settembre 2026'!B4:B37,0)),0)</f>
        <v/>
      </c>
      <c r="L28" s="6">
        <f>IF(75=0,0,MIN((J28*24)/150,1))</f>
        <v/>
      </c>
      <c r="M28" s="3" t="inlineStr">
        <is>
          <t>Introduzione ai Big Data nelle aziende; Big data e analisi predittiva; Progettare autorizzazioni e autentificazioni</t>
        </is>
      </c>
      <c r="N28" s="4" t="n">
        <v>10.42583274418605</v>
      </c>
      <c r="O28" s="4" t="n">
        <v>5.131004531257418</v>
      </c>
      <c r="P28" s="7">
        <f>(N28+O28)*J28*24</f>
        <v/>
      </c>
    </row>
    <row r="29" ht="20.1" customHeight="1">
      <c r="A29" s="3" t="inlineStr">
        <is>
          <t>SAVAIANO SILVIA</t>
        </is>
      </c>
      <c r="B29" s="4" t="inlineStr">
        <is>
          <t>SVNSLV89A46H501I</t>
        </is>
      </c>
      <c r="C29" s="3" t="inlineStr">
        <is>
          <t>La programmazione - Tecninf - Fondoconoscenza</t>
        </is>
      </c>
      <c r="J29" s="5">
        <f>IFERROR(INDEX('Aprile 2026'!AH4:AH37,MATCH("SVNSLV89A46H501I",'Aprile 2026'!B4:B37,0)),0)+IFERROR(INDEX('Maggio 2026'!AI4:AI37,MATCH("SVNSLV89A46H501I",'Maggio 2026'!B4:B37,0)),0)+IFERROR(INDEX('Giugno 2026'!AH4:AH37,MATCH("SVNSLV89A46H501I",'Giugno 2026'!B4:B37,0)),0)+IFERROR(INDEX('Luglio 2026'!AI4:AI37,MATCH("SVNSLV89A46H501I",'Luglio 2026'!B4:B37,0)),0)+IFERROR(INDEX('Agosto 2026'!AI4:AI37,MATCH("SVNSLV89A46H501I",'Agosto 2026'!B4:B37,0)),0)+IFERROR(INDEX('Settembre 2026'!AH4:AH37,MATCH("SVNSLV89A46H501I",'Settembre 2026'!B4:B37,0)),0)</f>
        <v/>
      </c>
      <c r="K29" s="5">
        <f>IFERROR(INDEX('Aprile 2026'!AJ4:AJ37,MATCH("SVNSLV89A46H501I",'Aprile 2026'!B4:B37,0)),0)+IFERROR(INDEX('Maggio 2026'!AK4:AK37,MATCH("SVNSLV89A46H501I",'Maggio 2026'!B4:B37,0)),0)+IFERROR(INDEX('Giugno 2026'!AJ4:AJ37,MATCH("SVNSLV89A46H501I",'Giugno 2026'!B4:B37,0)),0)+IFERROR(INDEX('Luglio 2026'!AK4:AK37,MATCH("SVNSLV89A46H501I",'Luglio 2026'!B4:B37,0)),0)+IFERROR(INDEX('Agosto 2026'!AK4:AK37,MATCH("SVNSLV89A46H501I",'Agosto 2026'!B4:B37,0)),0)+IFERROR(INDEX('Settembre 2026'!AJ4:AJ37,MATCH("SVNSLV89A46H501I",'Settembre 2026'!B4:B37,0)),0)</f>
        <v/>
      </c>
      <c r="L29" s="6">
        <f>IF(75=0,0,MIN((J29*24)/150,1))</f>
        <v/>
      </c>
      <c r="M29" s="3" t="inlineStr">
        <is>
          <t>GDPR e nuove normative Europee; I sistemi operativi; Linguaggi di programmazione; Back end base: Fondamenti di PHP</t>
        </is>
      </c>
      <c r="N29" s="4" t="n">
        <v>9.731453023255815</v>
      </c>
      <c r="O29" s="4" t="n">
        <v>4.849926321476056</v>
      </c>
      <c r="P29" s="7">
        <f>(N29+O29)*J29*24</f>
        <v/>
      </c>
    </row>
    <row r="30" ht="20.1" customHeight="1">
      <c r="A30" s="3" t="inlineStr">
        <is>
          <t>SCALVEDI FILIPPO</t>
        </is>
      </c>
      <c r="B30" s="4" t="inlineStr">
        <is>
          <t>SCLFPP97S05H501K</t>
        </is>
      </c>
      <c r="C30" s="3" t="inlineStr">
        <is>
          <t>Big Data - Tecninf - Fondoconoscenza</t>
        </is>
      </c>
      <c r="J30" s="5">
        <f>IFERROR(INDEX('Aprile 2026'!AH4:AH37,MATCH("SCLFPP97S05H501K",'Aprile 2026'!B4:B37,0)),0)+IFERROR(INDEX('Maggio 2026'!AI4:AI37,MATCH("SCLFPP97S05H501K",'Maggio 2026'!B4:B37,0)),0)+IFERROR(INDEX('Giugno 2026'!AH4:AH37,MATCH("SCLFPP97S05H501K",'Giugno 2026'!B4:B37,0)),0)+IFERROR(INDEX('Luglio 2026'!AI4:AI37,MATCH("SCLFPP97S05H501K",'Luglio 2026'!B4:B37,0)),0)+IFERROR(INDEX('Agosto 2026'!AI4:AI37,MATCH("SCLFPP97S05H501K",'Agosto 2026'!B4:B37,0)),0)+IFERROR(INDEX('Settembre 2026'!AH4:AH37,MATCH("SCLFPP97S05H501K",'Settembre 2026'!B4:B37,0)),0)</f>
        <v/>
      </c>
      <c r="K30" s="5">
        <f>IFERROR(INDEX('Aprile 2026'!AJ4:AJ37,MATCH("SCLFPP97S05H501K",'Aprile 2026'!B4:B37,0)),0)+IFERROR(INDEX('Maggio 2026'!AK4:AK37,MATCH("SCLFPP97S05H501K",'Maggio 2026'!B4:B37,0)),0)+IFERROR(INDEX('Giugno 2026'!AJ4:AJ37,MATCH("SCLFPP97S05H501K",'Giugno 2026'!B4:B37,0)),0)+IFERROR(INDEX('Luglio 2026'!AK4:AK37,MATCH("SCLFPP97S05H501K",'Luglio 2026'!B4:B37,0)),0)+IFERROR(INDEX('Agosto 2026'!AK4:AK37,MATCH("SCLFPP97S05H501K",'Agosto 2026'!B4:B37,0)),0)+IFERROR(INDEX('Settembre 2026'!AJ4:AJ37,MATCH("SCLFPP97S05H501K",'Settembre 2026'!B4:B37,0)),0)</f>
        <v/>
      </c>
      <c r="L30" s="6">
        <f>IF(75=0,0,MIN((J30*24)/150,1))</f>
        <v/>
      </c>
      <c r="M30" s="3" t="inlineStr">
        <is>
          <t>Big Data Analytics con Python e Spark</t>
        </is>
      </c>
      <c r="N30" s="4" t="n">
        <v>9.858164651162792</v>
      </c>
      <c r="O30" s="4" t="n">
        <v>1.683757475327303</v>
      </c>
      <c r="P30" s="7">
        <f>(N30+O30)*J30*24</f>
        <v/>
      </c>
    </row>
    <row r="31" ht="20.1" customHeight="1">
      <c r="A31" s="3" t="inlineStr">
        <is>
          <t>SCRIMIERI TIZIANO</t>
        </is>
      </c>
      <c r="B31" s="4" t="inlineStr">
        <is>
          <t>SCRTZN80A09H501I</t>
        </is>
      </c>
      <c r="C31" s="3" t="inlineStr">
        <is>
          <t>Big Data - Tecninf - Fondoconoscenza</t>
        </is>
      </c>
      <c r="J31" s="5">
        <f>IFERROR(INDEX('Aprile 2026'!AH4:AH37,MATCH("SCRTZN80A09H501I",'Aprile 2026'!B4:B37,0)),0)+IFERROR(INDEX('Maggio 2026'!AI4:AI37,MATCH("SCRTZN80A09H501I",'Maggio 2026'!B4:B37,0)),0)+IFERROR(INDEX('Giugno 2026'!AH4:AH37,MATCH("SCRTZN80A09H501I",'Giugno 2026'!B4:B37,0)),0)+IFERROR(INDEX('Luglio 2026'!AI4:AI37,MATCH("SCRTZN80A09H501I",'Luglio 2026'!B4:B37,0)),0)+IFERROR(INDEX('Agosto 2026'!AI4:AI37,MATCH("SCRTZN80A09H501I",'Agosto 2026'!B4:B37,0)),0)+IFERROR(INDEX('Settembre 2026'!AH4:AH37,MATCH("SCRTZN80A09H501I",'Settembre 2026'!B4:B37,0)),0)</f>
        <v/>
      </c>
      <c r="K31" s="5">
        <f>IFERROR(INDEX('Aprile 2026'!AJ4:AJ37,MATCH("SCRTZN80A09H501I",'Aprile 2026'!B4:B37,0)),0)+IFERROR(INDEX('Maggio 2026'!AK4:AK37,MATCH("SCRTZN80A09H501I",'Maggio 2026'!B4:B37,0)),0)+IFERROR(INDEX('Giugno 2026'!AJ4:AJ37,MATCH("SCRTZN80A09H501I",'Giugno 2026'!B4:B37,0)),0)+IFERROR(INDEX('Luglio 2026'!AK4:AK37,MATCH("SCRTZN80A09H501I",'Luglio 2026'!B4:B37,0)),0)+IFERROR(INDEX('Agosto 2026'!AK4:AK37,MATCH("SCRTZN80A09H501I",'Agosto 2026'!B4:B37,0)),0)+IFERROR(INDEX('Settembre 2026'!AJ4:AJ37,MATCH("SCRTZN80A09H501I",'Settembre 2026'!B4:B37,0)),0)</f>
        <v/>
      </c>
      <c r="L31" s="6">
        <f>IF(75=0,0,MIN((J31*24)/150,1))</f>
        <v/>
      </c>
      <c r="M31" s="3" t="inlineStr">
        <is>
          <t>GDPR e nuove normative Europee; Big data e analisi predittiva; Database relazionali e linguaggio SQL con PHP; Deep Learning e reti neurali</t>
        </is>
      </c>
      <c r="N31" s="4" t="n">
        <v>12.24034325581395</v>
      </c>
      <c r="O31" s="4" t="n">
        <v>6.0163062496053</v>
      </c>
      <c r="P31" s="7">
        <f>(N31+O31)*J31*24</f>
        <v/>
      </c>
    </row>
    <row r="32" ht="20.1" customHeight="1">
      <c r="A32" s="3" t="inlineStr">
        <is>
          <t>STASIUC DENIS</t>
        </is>
      </c>
      <c r="B32" s="4" t="inlineStr">
        <is>
          <t>STSDNS91B05Z140T</t>
        </is>
      </c>
      <c r="C32" s="3" t="inlineStr">
        <is>
          <t>Big Data - Tecninf - Fondoconoscenza</t>
        </is>
      </c>
      <c r="J32" s="5">
        <f>IFERROR(INDEX('Aprile 2026'!AH4:AH37,MATCH("STSDNS91B05Z140T",'Aprile 2026'!B4:B37,0)),0)+IFERROR(INDEX('Maggio 2026'!AI4:AI37,MATCH("STSDNS91B05Z140T",'Maggio 2026'!B4:B37,0)),0)+IFERROR(INDEX('Giugno 2026'!AH4:AH37,MATCH("STSDNS91B05Z140T",'Giugno 2026'!B4:B37,0)),0)+IFERROR(INDEX('Luglio 2026'!AI4:AI37,MATCH("STSDNS91B05Z140T",'Luglio 2026'!B4:B37,0)),0)+IFERROR(INDEX('Agosto 2026'!AI4:AI37,MATCH("STSDNS91B05Z140T",'Agosto 2026'!B4:B37,0)),0)+IFERROR(INDEX('Settembre 2026'!AH4:AH37,MATCH("STSDNS91B05Z140T",'Settembre 2026'!B4:B37,0)),0)</f>
        <v/>
      </c>
      <c r="K32" s="5">
        <f>IFERROR(INDEX('Aprile 2026'!AJ4:AJ37,MATCH("STSDNS91B05Z140T",'Aprile 2026'!B4:B37,0)),0)+IFERROR(INDEX('Maggio 2026'!AK4:AK37,MATCH("STSDNS91B05Z140T",'Maggio 2026'!B4:B37,0)),0)+IFERROR(INDEX('Giugno 2026'!AJ4:AJ37,MATCH("STSDNS91B05Z140T",'Giugno 2026'!B4:B37,0)),0)+IFERROR(INDEX('Luglio 2026'!AK4:AK37,MATCH("STSDNS91B05Z140T",'Luglio 2026'!B4:B37,0)),0)+IFERROR(INDEX('Agosto 2026'!AK4:AK37,MATCH("STSDNS91B05Z140T",'Agosto 2026'!B4:B37,0)),0)+IFERROR(INDEX('Settembre 2026'!AJ4:AJ37,MATCH("STSDNS91B05Z140T",'Settembre 2026'!B4:B37,0)),0)</f>
        <v/>
      </c>
      <c r="L32" s="6">
        <f>IF(75=0,0,MIN((J32*24)/150,1))</f>
        <v/>
      </c>
      <c r="M32" s="3" t="inlineStr">
        <is>
          <t>I Big data in ambito finanziario; Natural Language Processing con Python</t>
        </is>
      </c>
      <c r="N32" s="4" t="n">
        <v>10.28898418604651</v>
      </c>
      <c r="O32" s="4" t="n">
        <v>5.127761382625514</v>
      </c>
      <c r="P32" s="7">
        <f>(N32+O32)*J32*24</f>
        <v/>
      </c>
    </row>
    <row r="33" ht="20.1" customHeight="1">
      <c r="A33" s="3" t="inlineStr">
        <is>
          <t>TARISCIOTTI ANDREA</t>
        </is>
      </c>
      <c r="B33" s="4" t="inlineStr">
        <is>
          <t>TRSNDR97M24H501B</t>
        </is>
      </c>
      <c r="C33" s="3" t="inlineStr">
        <is>
          <t>La programmazione - Tecninf - Fondoconoscenza</t>
        </is>
      </c>
      <c r="J33" s="5">
        <f>IFERROR(INDEX('Aprile 2026'!AH4:AH37,MATCH("TRSNDR97M24H501B",'Aprile 2026'!B4:B37,0)),0)+IFERROR(INDEX('Maggio 2026'!AI4:AI37,MATCH("TRSNDR97M24H501B",'Maggio 2026'!B4:B37,0)),0)+IFERROR(INDEX('Giugno 2026'!AH4:AH37,MATCH("TRSNDR97M24H501B",'Giugno 2026'!B4:B37,0)),0)+IFERROR(INDEX('Luglio 2026'!AI4:AI37,MATCH("TRSNDR97M24H501B",'Luglio 2026'!B4:B37,0)),0)+IFERROR(INDEX('Agosto 2026'!AI4:AI37,MATCH("TRSNDR97M24H501B",'Agosto 2026'!B4:B37,0)),0)+IFERROR(INDEX('Settembre 2026'!AH4:AH37,MATCH("TRSNDR97M24H501B",'Settembre 2026'!B4:B37,0)),0)</f>
        <v/>
      </c>
      <c r="K33" s="5">
        <f>IFERROR(INDEX('Aprile 2026'!AJ4:AJ37,MATCH("TRSNDR97M24H501B",'Aprile 2026'!B4:B37,0)),0)+IFERROR(INDEX('Maggio 2026'!AK4:AK37,MATCH("TRSNDR97M24H501B",'Maggio 2026'!B4:B37,0)),0)+IFERROR(INDEX('Giugno 2026'!AJ4:AJ37,MATCH("TRSNDR97M24H501B",'Giugno 2026'!B4:B37,0)),0)+IFERROR(INDEX('Luglio 2026'!AK4:AK37,MATCH("TRSNDR97M24H501B",'Luglio 2026'!B4:B37,0)),0)+IFERROR(INDEX('Agosto 2026'!AK4:AK37,MATCH("TRSNDR97M24H501B",'Agosto 2026'!B4:B37,0)),0)+IFERROR(INDEX('Settembre 2026'!AJ4:AJ37,MATCH("TRSNDR97M24H501B",'Settembre 2026'!B4:B37,0)),0)</f>
        <v/>
      </c>
      <c r="L33" s="6">
        <f>IF(75=0,0,MIN((J33*24)/150,1))</f>
        <v/>
      </c>
      <c r="M33" s="3" t="inlineStr">
        <is>
          <t>Front end avanzato: JavaScript e jQuery; Applicazioni dinamiche con PHP e MySql</t>
        </is>
      </c>
      <c r="N33" s="4" t="n">
        <v>10.52720204651162</v>
      </c>
      <c r="O33" s="4" t="n">
        <v>5.777385318779284</v>
      </c>
      <c r="P33" s="7">
        <f>(N33+O33)*J33*24</f>
        <v/>
      </c>
    </row>
    <row r="34" ht="20.1" customHeight="1">
      <c r="A34" s="3" t="inlineStr">
        <is>
          <t>TOCI ANTONETA</t>
        </is>
      </c>
      <c r="B34" s="4" t="inlineStr">
        <is>
          <t>TCONNT91H59Z100O</t>
        </is>
      </c>
      <c r="C34" s="3" t="inlineStr">
        <is>
          <t>La programmazione - Tecninf - Fondoconoscenza</t>
        </is>
      </c>
      <c r="J34" s="5">
        <f>IFERROR(INDEX('Aprile 2026'!AH4:AH37,MATCH("TCONNT91H59Z100O",'Aprile 2026'!B4:B37,0)),0)+IFERROR(INDEX('Maggio 2026'!AI4:AI37,MATCH("TCONNT91H59Z100O",'Maggio 2026'!B4:B37,0)),0)+IFERROR(INDEX('Giugno 2026'!AH4:AH37,MATCH("TCONNT91H59Z100O",'Giugno 2026'!B4:B37,0)),0)+IFERROR(INDEX('Luglio 2026'!AI4:AI37,MATCH("TCONNT91H59Z100O",'Luglio 2026'!B4:B37,0)),0)+IFERROR(INDEX('Agosto 2026'!AI4:AI37,MATCH("TCONNT91H59Z100O",'Agosto 2026'!B4:B37,0)),0)+IFERROR(INDEX('Settembre 2026'!AH4:AH37,MATCH("TCONNT91H59Z100O",'Settembre 2026'!B4:B37,0)),0)</f>
        <v/>
      </c>
      <c r="K34" s="5">
        <f>IFERROR(INDEX('Aprile 2026'!AJ4:AJ37,MATCH("TCONNT91H59Z100O",'Aprile 2026'!B4:B37,0)),0)+IFERROR(INDEX('Maggio 2026'!AK4:AK37,MATCH("TCONNT91H59Z100O",'Maggio 2026'!B4:B37,0)),0)+IFERROR(INDEX('Giugno 2026'!AJ4:AJ37,MATCH("TCONNT91H59Z100O",'Giugno 2026'!B4:B37,0)),0)+IFERROR(INDEX('Luglio 2026'!AK4:AK37,MATCH("TCONNT91H59Z100O",'Luglio 2026'!B4:B37,0)),0)+IFERROR(INDEX('Agosto 2026'!AK4:AK37,MATCH("TCONNT91H59Z100O",'Agosto 2026'!B4:B37,0)),0)+IFERROR(INDEX('Settembre 2026'!AJ4:AJ37,MATCH("TCONNT91H59Z100O",'Settembre 2026'!B4:B37,0)),0)</f>
        <v/>
      </c>
      <c r="L34" s="6">
        <f>IF(75=0,0,MIN((J34*24)/150,1))</f>
        <v/>
      </c>
      <c r="M34" s="3" t="inlineStr">
        <is>
          <t>Nessuno - i corsi iniziati sono al 100%</t>
        </is>
      </c>
      <c r="N34" s="4" t="n">
        <v>9.731453023255815</v>
      </c>
      <c r="O34" s="4" t="n">
        <v>4.849926321476056</v>
      </c>
      <c r="P34" s="7">
        <f>(N34+O34)*J34*24</f>
        <v/>
      </c>
    </row>
    <row r="35" ht="20.1" customHeight="1">
      <c r="A35" s="3" t="inlineStr">
        <is>
          <t>VISWANATHAN SRIDHAR</t>
        </is>
      </c>
      <c r="B35" s="4" t="inlineStr">
        <is>
          <t>VSWSDH86S22Z222H</t>
        </is>
      </c>
      <c r="C35" s="3" t="inlineStr">
        <is>
          <t>Project Management per il digitale - Tecninf - Fondoconoscenza</t>
        </is>
      </c>
      <c r="J35" s="5">
        <f>IFERROR(INDEX('Aprile 2026'!AH4:AH37,MATCH("VSWSDH86S22Z222H",'Aprile 2026'!B4:B37,0)),0)+IFERROR(INDEX('Maggio 2026'!AI4:AI37,MATCH("VSWSDH86S22Z222H",'Maggio 2026'!B4:B37,0)),0)+IFERROR(INDEX('Giugno 2026'!AH4:AH37,MATCH("VSWSDH86S22Z222H",'Giugno 2026'!B4:B37,0)),0)+IFERROR(INDEX('Luglio 2026'!AI4:AI37,MATCH("VSWSDH86S22Z222H",'Luglio 2026'!B4:B37,0)),0)+IFERROR(INDEX('Agosto 2026'!AI4:AI37,MATCH("VSWSDH86S22Z222H",'Agosto 2026'!B4:B37,0)),0)+IFERROR(INDEX('Settembre 2026'!AH4:AH37,MATCH("VSWSDH86S22Z222H",'Settembre 2026'!B4:B37,0)),0)</f>
        <v/>
      </c>
      <c r="K35" s="5">
        <f>IFERROR(INDEX('Aprile 2026'!AJ4:AJ37,MATCH("VSWSDH86S22Z222H",'Aprile 2026'!B4:B37,0)),0)+IFERROR(INDEX('Maggio 2026'!AK4:AK37,MATCH("VSWSDH86S22Z222H",'Maggio 2026'!B4:B37,0)),0)+IFERROR(INDEX('Giugno 2026'!AJ4:AJ37,MATCH("VSWSDH86S22Z222H",'Giugno 2026'!B4:B37,0)),0)+IFERROR(INDEX('Luglio 2026'!AK4:AK37,MATCH("VSWSDH86S22Z222H",'Luglio 2026'!B4:B37,0)),0)+IFERROR(INDEX('Agosto 2026'!AK4:AK37,MATCH("VSWSDH86S22Z222H",'Agosto 2026'!B4:B37,0)),0)+IFERROR(INDEX('Settembre 2026'!AJ4:AJ37,MATCH("VSWSDH86S22Z222H",'Settembre 2026'!B4:B37,0)),0)</f>
        <v/>
      </c>
      <c r="L35" s="6">
        <f>IF(75=0,0,MIN((J35*24)/150,1))</f>
        <v/>
      </c>
      <c r="M35" s="3" t="inlineStr">
        <is>
          <t>Influenzare positivamente il clima aziendale</t>
        </is>
      </c>
      <c r="N35" s="4" t="n">
        <v>11.99198846511628</v>
      </c>
      <c r="O35" s="4" t="n">
        <v>5.976475500904301</v>
      </c>
      <c r="P35" s="7">
        <f>(N35+O35)*J35*24</f>
        <v/>
      </c>
    </row>
    <row r="36" ht="20.1" customHeight="1">
      <c r="A36" s="8" t="inlineStr">
        <is>
          <t>TOTALE</t>
        </is>
      </c>
      <c r="J36" s="9">
        <f>SUM(J3:J35)</f>
        <v/>
      </c>
      <c r="K36" s="9">
        <f>SUM(K3:K35)</f>
        <v/>
      </c>
      <c r="P36" s="10">
        <f>SUM(P3:P35)</f>
        <v/>
      </c>
    </row>
    <row r="37" ht="20.1" customHeight="1">
      <c r="A37" s="8" t="inlineStr">
        <is>
          <t>TOTALE NON FINANZIATO</t>
        </is>
      </c>
    </row>
  </sheetData>
  <mergeCells count="1">
    <mergeCell ref="A1:P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7" customWidth="1" min="2" max="2"/>
    <col width="35" customWidth="1" min="3" max="3"/>
    <col width="6.42578125" customWidth="1" min="4" max="4"/>
    <col width="6.42578125" customWidth="1" min="5" max="5"/>
    <col width="6.42578125" customWidth="1" min="6" max="6"/>
    <col width="6.42578125" customWidth="1" min="7" max="7"/>
    <col width="6.42578125" customWidth="1" min="8" max="8"/>
    <col width="6.42578125" customWidth="1" min="9" max="9"/>
    <col width="6.42578125" customWidth="1" min="10" max="10"/>
    <col width="6.42578125" customWidth="1" min="11" max="11"/>
    <col width="6.42578125" customWidth="1" min="12" max="12"/>
    <col width="6.42578125" customWidth="1" min="13" max="13"/>
    <col width="6.42578125" customWidth="1" min="14" max="14"/>
    <col width="6.42578125" customWidth="1" min="15" max="15"/>
    <col width="6.42578125" customWidth="1" min="16" max="16"/>
    <col width="6.42578125" customWidth="1" min="17" max="17"/>
    <col width="6.42578125" customWidth="1" min="18" max="18"/>
    <col width="6.42578125" customWidth="1" min="19" max="19"/>
    <col width="6.42578125" customWidth="1" min="20" max="20"/>
    <col width="6.42578125" customWidth="1" min="21" max="21"/>
    <col width="6.42578125" customWidth="1" min="22" max="22"/>
    <col width="6.42578125" customWidth="1" min="23" max="23"/>
    <col width="6.42578125" customWidth="1" min="24" max="24"/>
    <col width="6.42578125" customWidth="1" min="25" max="25"/>
    <col width="6.42578125" customWidth="1" min="26" max="26"/>
    <col width="6.42578125" customWidth="1" min="27" max="27"/>
    <col width="6.42578125" customWidth="1" min="28" max="28"/>
    <col width="6.42578125" customWidth="1" min="29" max="29"/>
    <col width="6.42578125" customWidth="1" min="30" max="30"/>
    <col width="6.42578125" customWidth="1" min="31" max="31"/>
    <col width="6.42578125" customWidth="1" min="32" max="32"/>
    <col width="6.42578125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</cols>
  <sheetData>
    <row r="1" ht="26.1" customHeight="1">
      <c r="A1" s="1" t="inlineStr">
        <is>
          <t>MONITORAGGIO ORE FORMAZIONE - Aprile 2026 - TECNINF SPA</t>
        </is>
      </c>
    </row>
    <row r="2" ht="38.1" customHeight="1"/>
    <row r="3" ht="32.1" customHeight="1">
      <c r="A3" s="2" t="inlineStr">
        <is>
          <t>Utente</t>
        </is>
      </c>
      <c r="B3" s="2" t="inlineStr">
        <is>
          <t>Codice Fiscale</t>
        </is>
      </c>
      <c r="C3" s="2" t="inlineStr">
        <is>
          <t>Percorso Formativo</t>
        </is>
      </c>
      <c r="D3" s="11" t="inlineStr">
        <is>
          <t>1
M</t>
        </is>
      </c>
      <c r="E3" s="11" t="inlineStr">
        <is>
          <t>2
G</t>
        </is>
      </c>
      <c r="F3" s="11" t="inlineStr">
        <is>
          <t>3
V</t>
        </is>
      </c>
      <c r="G3" s="12" t="inlineStr">
        <is>
          <t>4
S</t>
        </is>
      </c>
      <c r="H3" s="12" t="inlineStr">
        <is>
          <t>5
D</t>
        </is>
      </c>
      <c r="I3" s="11" t="inlineStr">
        <is>
          <t>6
L</t>
        </is>
      </c>
      <c r="J3" s="11" t="inlineStr">
        <is>
          <t>7
M</t>
        </is>
      </c>
      <c r="K3" s="11" t="inlineStr">
        <is>
          <t>8
M</t>
        </is>
      </c>
      <c r="L3" s="11" t="inlineStr">
        <is>
          <t>9
G</t>
        </is>
      </c>
      <c r="M3" s="11" t="inlineStr">
        <is>
          <t>10
V</t>
        </is>
      </c>
      <c r="N3" s="12" t="inlineStr">
        <is>
          <t>11
S</t>
        </is>
      </c>
      <c r="O3" s="12" t="inlineStr">
        <is>
          <t>12
D</t>
        </is>
      </c>
      <c r="P3" s="11" t="inlineStr">
        <is>
          <t>13
L</t>
        </is>
      </c>
      <c r="Q3" s="11" t="inlineStr">
        <is>
          <t>14
M</t>
        </is>
      </c>
      <c r="R3" s="11" t="inlineStr">
        <is>
          <t>15
M</t>
        </is>
      </c>
      <c r="S3" s="11" t="inlineStr">
        <is>
          <t>16
G</t>
        </is>
      </c>
      <c r="T3" s="11" t="inlineStr">
        <is>
          <t>17
V</t>
        </is>
      </c>
      <c r="U3" s="12" t="inlineStr">
        <is>
          <t>18
S</t>
        </is>
      </c>
      <c r="V3" s="12" t="inlineStr">
        <is>
          <t>19
D</t>
        </is>
      </c>
      <c r="W3" s="11" t="inlineStr">
        <is>
          <t>20
L</t>
        </is>
      </c>
      <c r="X3" s="11" t="inlineStr">
        <is>
          <t>21
M</t>
        </is>
      </c>
      <c r="Y3" s="11" t="inlineStr">
        <is>
          <t>22
M</t>
        </is>
      </c>
      <c r="Z3" s="11" t="inlineStr">
        <is>
          <t>23
G</t>
        </is>
      </c>
      <c r="AA3" s="11" t="inlineStr">
        <is>
          <t>24
V</t>
        </is>
      </c>
      <c r="AB3" s="12" t="inlineStr">
        <is>
          <t>25
S</t>
        </is>
      </c>
      <c r="AC3" s="12" t="inlineStr">
        <is>
          <t>26
D</t>
        </is>
      </c>
      <c r="AD3" s="11" t="inlineStr">
        <is>
          <t>27
L</t>
        </is>
      </c>
      <c r="AE3" s="11" t="inlineStr">
        <is>
          <t>28
M</t>
        </is>
      </c>
      <c r="AF3" s="11" t="inlineStr">
        <is>
          <t>29
M</t>
        </is>
      </c>
      <c r="AG3" s="11" t="inlineStr">
        <is>
          <t>30
G</t>
        </is>
      </c>
      <c r="AH3" s="2" t="inlineStr">
        <is>
          <t>Totale
Ore Effettive</t>
        </is>
      </c>
      <c r="AI3" s="2" t="inlineStr">
        <is>
          <t>Ore
Totali</t>
        </is>
      </c>
      <c r="AJ3" s="2" t="inlineStr">
        <is>
          <t>Totale
Eccesso</t>
        </is>
      </c>
      <c r="AK3" s="2" t="inlineStr">
        <is>
          <t>Eccesso
Weekend</t>
        </is>
      </c>
      <c r="AL3" s="2" t="inlineStr">
        <is>
          <t>Eccesso
Dopo 18:00</t>
        </is>
      </c>
      <c r="AM3" s="2" t="inlineStr">
        <is>
          <t>Eccesso
Mattutino</t>
        </is>
      </c>
    </row>
    <row r="4" ht="17.1" customHeight="1">
      <c r="A4" s="13" t="inlineStr">
        <is>
          <t>ALBA WILLIAM JULIAN PAZ</t>
        </is>
      </c>
      <c r="B4" s="14" t="inlineStr">
        <is>
          <t>PZLWLM96A16Z504F</t>
        </is>
      </c>
      <c r="C4" s="13" t="inlineStr">
        <is>
          <t>La programmazione - Tecninf - Fondoconoscenza</t>
        </is>
      </c>
      <c r="D4" s="15" t="n"/>
      <c r="E4" s="15" t="n"/>
      <c r="F4" s="15" t="n"/>
      <c r="G4" s="16" t="n"/>
      <c r="H4" s="16" t="n"/>
      <c r="I4" s="15" t="n"/>
      <c r="J4" s="15" t="n"/>
      <c r="K4" s="15" t="n"/>
      <c r="L4" s="15" t="n"/>
      <c r="M4" s="15" t="n"/>
      <c r="N4" s="16" t="n"/>
      <c r="O4" s="16" t="n"/>
      <c r="P4" s="15" t="n"/>
      <c r="Q4" s="15" t="n"/>
      <c r="R4" s="15" t="n"/>
      <c r="S4" s="15" t="n"/>
      <c r="T4" s="15" t="n"/>
      <c r="U4" s="16" t="n"/>
      <c r="V4" s="16" t="n"/>
      <c r="W4" s="15" t="n"/>
      <c r="X4" s="15" t="n"/>
      <c r="Y4" s="15" t="n"/>
      <c r="Z4" s="15" t="n"/>
      <c r="AA4" s="15" t="n"/>
      <c r="AB4" s="16" t="n"/>
      <c r="AC4" s="16" t="n"/>
      <c r="AD4" s="15" t="n"/>
      <c r="AE4" s="15" t="n"/>
      <c r="AF4" s="15" t="n"/>
      <c r="AG4" s="17" t="n">
        <v>0.02978009259259259</v>
      </c>
      <c r="AH4" s="18">
        <f>SUM(D4:AG4)</f>
        <v/>
      </c>
      <c r="AI4" s="18" t="n">
        <v>0.02978009259259259</v>
      </c>
      <c r="AJ4" s="18">
        <f>AI4-AH4</f>
        <v/>
      </c>
      <c r="AK4" s="14" t="n"/>
      <c r="AL4" s="14" t="n"/>
      <c r="AM4" s="14" t="n"/>
    </row>
    <row r="5" ht="17.1" customHeight="1">
      <c r="A5" s="13" t="inlineStr">
        <is>
          <t>BADII ALESSANDRO</t>
        </is>
      </c>
      <c r="B5" s="14" t="inlineStr">
        <is>
          <t>BDALSN01R03H501Z</t>
        </is>
      </c>
      <c r="C5" s="13" t="inlineStr">
        <is>
          <t>Big Data - Tecninf - Fondoconoscenza</t>
        </is>
      </c>
      <c r="D5" s="15" t="n"/>
      <c r="E5" s="15" t="n"/>
      <c r="F5" s="15" t="n"/>
      <c r="G5" s="16" t="n"/>
      <c r="H5" s="16" t="n"/>
      <c r="I5" s="15" t="n"/>
      <c r="J5" s="15" t="n"/>
      <c r="K5" s="15" t="n"/>
      <c r="L5" s="15" t="n"/>
      <c r="M5" s="15" t="n"/>
      <c r="N5" s="16" t="n"/>
      <c r="O5" s="16" t="n"/>
      <c r="P5" s="15" t="n"/>
      <c r="Q5" s="15" t="n"/>
      <c r="R5" s="15" t="n"/>
      <c r="S5" s="15" t="n"/>
      <c r="T5" s="15" t="n"/>
      <c r="U5" s="16" t="n"/>
      <c r="V5" s="16" t="n"/>
      <c r="W5" s="15" t="n"/>
      <c r="X5" s="15" t="n"/>
      <c r="Y5" s="15" t="n"/>
      <c r="Z5" s="15" t="n"/>
      <c r="AA5" s="15" t="n"/>
      <c r="AB5" s="16" t="n"/>
      <c r="AC5" s="16" t="n"/>
      <c r="AD5" s="15" t="n"/>
      <c r="AE5" s="15" t="n"/>
      <c r="AF5" s="15" t="n"/>
      <c r="AG5" s="15" t="n"/>
      <c r="AH5" s="18">
        <f>SUM(D5:AG5)</f>
        <v/>
      </c>
      <c r="AI5" s="14" t="n"/>
      <c r="AJ5" s="18">
        <f>AI5-AH5</f>
        <v/>
      </c>
      <c r="AK5" s="14" t="n"/>
      <c r="AL5" s="14" t="n"/>
      <c r="AM5" s="14" t="n"/>
    </row>
    <row r="6" ht="17.1" customHeight="1">
      <c r="A6" s="13" t="inlineStr">
        <is>
          <t>BADINE HICHAM</t>
        </is>
      </c>
      <c r="B6" s="14" t="inlineStr">
        <is>
          <t>BDNHHM97H19H501Q</t>
        </is>
      </c>
      <c r="C6" s="13" t="inlineStr">
        <is>
          <t>La programmazione - Tecninf - Fondoconoscenza</t>
        </is>
      </c>
      <c r="D6" s="15" t="n"/>
      <c r="E6" s="15" t="n"/>
      <c r="F6" s="15" t="n"/>
      <c r="G6" s="16" t="n"/>
      <c r="H6" s="16" t="n"/>
      <c r="I6" s="15" t="n"/>
      <c r="J6" s="15" t="n"/>
      <c r="K6" s="15" t="n"/>
      <c r="L6" s="15" t="n"/>
      <c r="M6" s="15" t="n"/>
      <c r="N6" s="16" t="n"/>
      <c r="O6" s="16" t="n"/>
      <c r="P6" s="15" t="n"/>
      <c r="Q6" s="15" t="n"/>
      <c r="R6" s="15" t="n"/>
      <c r="S6" s="15" t="n"/>
      <c r="T6" s="15" t="n"/>
      <c r="U6" s="16" t="n"/>
      <c r="V6" s="16" t="n"/>
      <c r="W6" s="15" t="n"/>
      <c r="X6" s="15" t="n"/>
      <c r="Y6" s="15" t="n"/>
      <c r="Z6" s="15" t="n"/>
      <c r="AA6" s="15" t="n"/>
      <c r="AB6" s="16" t="n"/>
      <c r="AC6" s="16" t="n"/>
      <c r="AD6" s="15" t="n"/>
      <c r="AE6" s="15" t="n"/>
      <c r="AF6" s="15" t="n"/>
      <c r="AG6" s="15" t="n"/>
      <c r="AH6" s="18">
        <f>SUM(D6:AG6)</f>
        <v/>
      </c>
      <c r="AI6" s="14" t="n"/>
      <c r="AJ6" s="18">
        <f>AI6-AH6</f>
        <v/>
      </c>
      <c r="AK6" s="14" t="n"/>
      <c r="AL6" s="14" t="n"/>
      <c r="AM6" s="14" t="n"/>
    </row>
    <row r="7" ht="17.1" customHeight="1">
      <c r="A7" s="13" t="inlineStr">
        <is>
          <t>BECIANI ANDREA</t>
        </is>
      </c>
      <c r="B7" s="14" t="inlineStr">
        <is>
          <t>BCNNDR82P16D773D</t>
        </is>
      </c>
      <c r="C7" s="13" t="inlineStr">
        <is>
          <t>La programmazione - Tecninf - Fondoconoscenza</t>
        </is>
      </c>
      <c r="D7" s="15" t="n"/>
      <c r="E7" s="15" t="n"/>
      <c r="F7" s="15" t="n"/>
      <c r="G7" s="16" t="n"/>
      <c r="H7" s="16" t="n"/>
      <c r="I7" s="15" t="n"/>
      <c r="J7" s="15" t="n"/>
      <c r="K7" s="15" t="n"/>
      <c r="L7" s="15" t="n"/>
      <c r="M7" s="15" t="n"/>
      <c r="N7" s="16" t="n"/>
      <c r="O7" s="16" t="n"/>
      <c r="P7" s="15" t="n"/>
      <c r="Q7" s="15" t="n"/>
      <c r="R7" s="15" t="n"/>
      <c r="S7" s="15" t="n"/>
      <c r="T7" s="15" t="n"/>
      <c r="U7" s="16" t="n"/>
      <c r="V7" s="16" t="n"/>
      <c r="W7" s="15" t="n"/>
      <c r="X7" s="15" t="n"/>
      <c r="Y7" s="15" t="n"/>
      <c r="Z7" s="15" t="n"/>
      <c r="AA7" s="15" t="n"/>
      <c r="AB7" s="16" t="n"/>
      <c r="AC7" s="16" t="n"/>
      <c r="AD7" s="15" t="n"/>
      <c r="AE7" s="15" t="n"/>
      <c r="AF7" s="17" t="n">
        <v>0.1227199074074074</v>
      </c>
      <c r="AG7" s="19" t="n">
        <v>0.09978009259259259</v>
      </c>
      <c r="AH7" s="18">
        <f>SUM(D7:AG7)</f>
        <v/>
      </c>
      <c r="AI7" s="18" t="n">
        <v>0.2474537037037037</v>
      </c>
      <c r="AJ7" s="18">
        <f>AI7-AH7</f>
        <v/>
      </c>
      <c r="AK7" s="14" t="n"/>
      <c r="AL7" s="18" t="n">
        <v>0.0249537037037037</v>
      </c>
      <c r="AM7" s="14" t="n"/>
    </row>
    <row r="8" ht="17.1" customHeight="1">
      <c r="A8" s="13" t="inlineStr">
        <is>
          <t>BOONTAWEE JUTATIP</t>
        </is>
      </c>
      <c r="B8" s="14" t="inlineStr">
        <is>
          <t>BNTJTP78S54Z241U</t>
        </is>
      </c>
      <c r="C8" s="13" t="inlineStr">
        <is>
          <t>Project Management per il digitale - Tecninf - Fondoconoscenza</t>
        </is>
      </c>
      <c r="D8" s="15" t="n"/>
      <c r="E8" s="15" t="n"/>
      <c r="F8" s="15" t="n"/>
      <c r="G8" s="16" t="n"/>
      <c r="H8" s="16" t="n"/>
      <c r="I8" s="15" t="n"/>
      <c r="J8" s="15" t="n"/>
      <c r="K8" s="15" t="n"/>
      <c r="L8" s="15" t="n"/>
      <c r="M8" s="15" t="n"/>
      <c r="N8" s="16" t="n"/>
      <c r="O8" s="16" t="n"/>
      <c r="P8" s="15" t="n"/>
      <c r="Q8" s="15" t="n"/>
      <c r="R8" s="15" t="n"/>
      <c r="S8" s="15" t="n"/>
      <c r="T8" s="15" t="n"/>
      <c r="U8" s="16" t="n"/>
      <c r="V8" s="16" t="n"/>
      <c r="W8" s="15" t="n"/>
      <c r="X8" s="15" t="n"/>
      <c r="Y8" s="15" t="n"/>
      <c r="Z8" s="15" t="n"/>
      <c r="AA8" s="15" t="n"/>
      <c r="AB8" s="16" t="n"/>
      <c r="AC8" s="16" t="n"/>
      <c r="AD8" s="15" t="n"/>
      <c r="AE8" s="15" t="n"/>
      <c r="AF8" s="15" t="n"/>
      <c r="AG8" s="15" t="n"/>
      <c r="AH8" s="18">
        <f>SUM(D8:AG8)</f>
        <v/>
      </c>
      <c r="AI8" s="14" t="n"/>
      <c r="AJ8" s="18">
        <f>AI8-AH8</f>
        <v/>
      </c>
      <c r="AK8" s="14" t="n"/>
      <c r="AL8" s="14" t="n"/>
      <c r="AM8" s="14" t="n"/>
    </row>
    <row r="9" ht="17.1" customHeight="1">
      <c r="A9" s="13" t="inlineStr">
        <is>
          <t>BUTTINELLI GIORGIA</t>
        </is>
      </c>
      <c r="B9" s="14" t="inlineStr">
        <is>
          <t>BTTGRG97S59G274Q</t>
        </is>
      </c>
      <c r="C9" s="13" t="inlineStr">
        <is>
          <t>Big Data - Tecninf - Fondoconoscenza</t>
        </is>
      </c>
      <c r="D9" s="15" t="n"/>
      <c r="E9" s="15" t="n"/>
      <c r="F9" s="15" t="n"/>
      <c r="G9" s="16" t="n"/>
      <c r="H9" s="16" t="n"/>
      <c r="I9" s="15" t="n"/>
      <c r="J9" s="15" t="n"/>
      <c r="K9" s="15" t="n"/>
      <c r="L9" s="15" t="n"/>
      <c r="M9" s="15" t="n"/>
      <c r="N9" s="16" t="n"/>
      <c r="O9" s="16" t="n"/>
      <c r="P9" s="15" t="n"/>
      <c r="Q9" s="15" t="n"/>
      <c r="R9" s="15" t="n"/>
      <c r="S9" s="15" t="n"/>
      <c r="T9" s="15" t="n"/>
      <c r="U9" s="16" t="n"/>
      <c r="V9" s="16" t="n"/>
      <c r="W9" s="15" t="n"/>
      <c r="X9" s="15" t="n"/>
      <c r="Y9" s="15" t="n"/>
      <c r="Z9" s="15" t="n"/>
      <c r="AA9" s="15" t="n"/>
      <c r="AB9" s="16" t="n"/>
      <c r="AC9" s="16" t="n"/>
      <c r="AD9" s="15" t="n"/>
      <c r="AE9" s="15" t="n"/>
      <c r="AF9" s="15" t="n"/>
      <c r="AG9" s="15" t="n"/>
      <c r="AH9" s="18">
        <f>SUM(D9:AG9)</f>
        <v/>
      </c>
      <c r="AI9" s="14" t="n"/>
      <c r="AJ9" s="18">
        <f>AI9-AH9</f>
        <v/>
      </c>
      <c r="AK9" s="14" t="n"/>
      <c r="AL9" s="14" t="n"/>
      <c r="AM9" s="14" t="n"/>
    </row>
    <row r="10" ht="17.1" customHeight="1">
      <c r="A10" s="13" t="inlineStr">
        <is>
          <t>CARABLUT VICTOR</t>
        </is>
      </c>
      <c r="B10" s="14" t="inlineStr">
        <is>
          <t>CRBVTR94A11Z140B</t>
        </is>
      </c>
      <c r="C10" s="13" t="inlineStr">
        <is>
          <t>Sicurezza Informatica - Tecninf - Fondoconoscenza</t>
        </is>
      </c>
      <c r="D10" s="15" t="n"/>
      <c r="E10" s="15" t="n"/>
      <c r="F10" s="15" t="n"/>
      <c r="G10" s="16" t="n"/>
      <c r="H10" s="16" t="n"/>
      <c r="I10" s="15" t="n"/>
      <c r="J10" s="15" t="n"/>
      <c r="K10" s="15" t="n"/>
      <c r="L10" s="15" t="n"/>
      <c r="M10" s="15" t="n"/>
      <c r="N10" s="16" t="n"/>
      <c r="O10" s="16" t="n"/>
      <c r="P10" s="15" t="n"/>
      <c r="Q10" s="15" t="n"/>
      <c r="R10" s="15" t="n"/>
      <c r="S10" s="15" t="n"/>
      <c r="T10" s="15" t="n"/>
      <c r="U10" s="16" t="n"/>
      <c r="V10" s="16" t="n"/>
      <c r="W10" s="15" t="n"/>
      <c r="X10" s="15" t="n"/>
      <c r="Y10" s="15" t="n"/>
      <c r="Z10" s="15" t="n"/>
      <c r="AA10" s="15" t="n"/>
      <c r="AB10" s="16" t="n"/>
      <c r="AC10" s="16" t="n"/>
      <c r="AD10" s="15" t="n"/>
      <c r="AE10" s="15" t="n"/>
      <c r="AF10" s="15" t="n"/>
      <c r="AG10" s="15" t="n"/>
      <c r="AH10" s="18">
        <f>SUM(D10:AG10)</f>
        <v/>
      </c>
      <c r="AI10" s="14" t="n"/>
      <c r="AJ10" s="18">
        <f>AI10-AH10</f>
        <v/>
      </c>
      <c r="AK10" s="14" t="n"/>
      <c r="AL10" s="14" t="n"/>
      <c r="AM10" s="14" t="n"/>
    </row>
    <row r="11" ht="17.1" customHeight="1">
      <c r="A11" s="13" t="inlineStr">
        <is>
          <t>CECCONI ANTHONY</t>
        </is>
      </c>
      <c r="B11" s="14" t="inlineStr">
        <is>
          <t>CCCNHN91D19H501W</t>
        </is>
      </c>
      <c r="C11" s="13" t="inlineStr">
        <is>
          <t>La programmazione - Tecninf - Fondoconoscenza</t>
        </is>
      </c>
      <c r="D11" s="15" t="n"/>
      <c r="E11" s="15" t="n"/>
      <c r="F11" s="15" t="n"/>
      <c r="G11" s="16" t="n"/>
      <c r="H11" s="16" t="n"/>
      <c r="I11" s="15" t="n"/>
      <c r="J11" s="15" t="n"/>
      <c r="K11" s="15" t="n"/>
      <c r="L11" s="15" t="n"/>
      <c r="M11" s="15" t="n"/>
      <c r="N11" s="16" t="n"/>
      <c r="O11" s="16" t="n"/>
      <c r="P11" s="15" t="n"/>
      <c r="Q11" s="15" t="n"/>
      <c r="R11" s="15" t="n"/>
      <c r="S11" s="15" t="n"/>
      <c r="T11" s="15" t="n"/>
      <c r="U11" s="16" t="n"/>
      <c r="V11" s="16" t="n"/>
      <c r="W11" s="15" t="n"/>
      <c r="X11" s="15" t="n"/>
      <c r="Y11" s="15" t="n"/>
      <c r="Z11" s="15" t="n"/>
      <c r="AA11" s="15" t="n"/>
      <c r="AB11" s="16" t="n"/>
      <c r="AC11" s="16" t="n"/>
      <c r="AD11" s="15" t="n"/>
      <c r="AE11" s="17" t="n">
        <v>0.1553356481481482</v>
      </c>
      <c r="AF11" s="17" t="n">
        <v>0.1393518518518519</v>
      </c>
      <c r="AG11" s="15" t="n"/>
      <c r="AH11" s="18">
        <f>SUM(D11:AG11)</f>
        <v/>
      </c>
      <c r="AI11" s="18" t="n">
        <v>0.2946875</v>
      </c>
      <c r="AJ11" s="18">
        <f>AI11-AH11</f>
        <v/>
      </c>
      <c r="AK11" s="14" t="n"/>
      <c r="AL11" s="14" t="n"/>
      <c r="AM11" s="14" t="n"/>
    </row>
    <row r="12" ht="17.1" customHeight="1">
      <c r="A12" s="13" t="inlineStr">
        <is>
          <t>CHIARA GOBBI MARIA</t>
        </is>
      </c>
      <c r="B12" s="14" t="inlineStr">
        <is>
          <t>GBBMCH73R57H501G</t>
        </is>
      </c>
      <c r="C12" s="13" t="inlineStr">
        <is>
          <t>L'ufficio digitale - Tecninf - Fondoconoscenza</t>
        </is>
      </c>
      <c r="D12" s="15" t="n"/>
      <c r="E12" s="15" t="n"/>
      <c r="F12" s="15" t="n"/>
      <c r="G12" s="16" t="n"/>
      <c r="H12" s="16" t="n"/>
      <c r="I12" s="15" t="n"/>
      <c r="J12" s="15" t="n"/>
      <c r="K12" s="15" t="n"/>
      <c r="L12" s="15" t="n"/>
      <c r="M12" s="15" t="n"/>
      <c r="N12" s="16" t="n"/>
      <c r="O12" s="16" t="n"/>
      <c r="P12" s="15" t="n"/>
      <c r="Q12" s="15" t="n"/>
      <c r="R12" s="15" t="n"/>
      <c r="S12" s="15" t="n"/>
      <c r="T12" s="15" t="n"/>
      <c r="U12" s="16" t="n"/>
      <c r="V12" s="16" t="n"/>
      <c r="W12" s="15" t="n"/>
      <c r="X12" s="15" t="n"/>
      <c r="Y12" s="15" t="n"/>
      <c r="Z12" s="15" t="n"/>
      <c r="AA12" s="15" t="n"/>
      <c r="AB12" s="16" t="n"/>
      <c r="AC12" s="16" t="n"/>
      <c r="AD12" s="15" t="n"/>
      <c r="AE12" s="15" t="n"/>
      <c r="AF12" s="15" t="n"/>
      <c r="AG12" s="15" t="n"/>
      <c r="AH12" s="18">
        <f>SUM(D12:AG12)</f>
        <v/>
      </c>
      <c r="AI12" s="14" t="n"/>
      <c r="AJ12" s="18">
        <f>AI12-AH12</f>
        <v/>
      </c>
      <c r="AK12" s="14" t="n"/>
      <c r="AL12" s="14" t="n"/>
      <c r="AM12" s="14" t="n"/>
    </row>
    <row r="13" ht="17.1" customHeight="1">
      <c r="A13" s="13" t="inlineStr">
        <is>
          <t>LIMETTI ION</t>
        </is>
      </c>
      <c r="B13" s="14" t="inlineStr">
        <is>
          <t>LMTNIO94M03Z129S</t>
        </is>
      </c>
      <c r="C13" s="13" t="inlineStr">
        <is>
          <t>Big Data - Tecninf - Fondoconoscenza</t>
        </is>
      </c>
      <c r="D13" s="15" t="n"/>
      <c r="E13" s="15" t="n"/>
      <c r="F13" s="15" t="n"/>
      <c r="G13" s="16" t="n"/>
      <c r="H13" s="16" t="n"/>
      <c r="I13" s="15" t="n"/>
      <c r="J13" s="15" t="n"/>
      <c r="K13" s="15" t="n"/>
      <c r="L13" s="15" t="n"/>
      <c r="M13" s="15" t="n"/>
      <c r="N13" s="16" t="n"/>
      <c r="O13" s="16" t="n"/>
      <c r="P13" s="15" t="n"/>
      <c r="Q13" s="15" t="n"/>
      <c r="R13" s="15" t="n"/>
      <c r="S13" s="15" t="n"/>
      <c r="T13" s="15" t="n"/>
      <c r="U13" s="16" t="n"/>
      <c r="V13" s="16" t="n"/>
      <c r="W13" s="15" t="n"/>
      <c r="X13" s="15" t="n"/>
      <c r="Y13" s="15" t="n"/>
      <c r="Z13" s="15" t="n"/>
      <c r="AA13" s="15" t="n"/>
      <c r="AB13" s="16" t="n"/>
      <c r="AC13" s="16" t="n"/>
      <c r="AD13" s="15" t="n"/>
      <c r="AE13" s="15" t="n"/>
      <c r="AF13" s="15" t="n"/>
      <c r="AG13" s="15" t="n"/>
      <c r="AH13" s="18">
        <f>SUM(D13:AG13)</f>
        <v/>
      </c>
      <c r="AI13" s="14" t="n"/>
      <c r="AJ13" s="18">
        <f>AI13-AH13</f>
        <v/>
      </c>
      <c r="AK13" s="14" t="n"/>
      <c r="AL13" s="14" t="n"/>
      <c r="AM13" s="14" t="n"/>
    </row>
    <row r="14" ht="17.1" customHeight="1">
      <c r="A14" s="13" t="inlineStr">
        <is>
          <t>LUCA' VERONICA</t>
        </is>
      </c>
      <c r="B14" s="14" t="inlineStr">
        <is>
          <t>LCUVNC85L52D976T</t>
        </is>
      </c>
      <c r="C14" s="13" t="inlineStr">
        <is>
          <t>Big Data - Tecninf - Fondoconoscenza</t>
        </is>
      </c>
      <c r="D14" s="15" t="n"/>
      <c r="E14" s="15" t="n"/>
      <c r="F14" s="15" t="n"/>
      <c r="G14" s="16" t="n"/>
      <c r="H14" s="16" t="n"/>
      <c r="I14" s="15" t="n"/>
      <c r="J14" s="15" t="n"/>
      <c r="K14" s="15" t="n"/>
      <c r="L14" s="15" t="n"/>
      <c r="M14" s="15" t="n"/>
      <c r="N14" s="16" t="n"/>
      <c r="O14" s="16" t="n"/>
      <c r="P14" s="15" t="n"/>
      <c r="Q14" s="15" t="n"/>
      <c r="R14" s="15" t="n"/>
      <c r="S14" s="15" t="n"/>
      <c r="T14" s="15" t="n"/>
      <c r="U14" s="16" t="n"/>
      <c r="V14" s="16" t="n"/>
      <c r="W14" s="15" t="n"/>
      <c r="X14" s="15" t="n"/>
      <c r="Y14" s="15" t="n"/>
      <c r="Z14" s="15" t="n"/>
      <c r="AA14" s="15" t="n"/>
      <c r="AB14" s="16" t="n"/>
      <c r="AC14" s="16" t="n"/>
      <c r="AD14" s="15" t="n"/>
      <c r="AE14" s="17" t="n">
        <v>0.04528935185185185</v>
      </c>
      <c r="AF14" s="15" t="n"/>
      <c r="AG14" s="15" t="n"/>
      <c r="AH14" s="18">
        <f>SUM(D14:AG14)</f>
        <v/>
      </c>
      <c r="AI14" s="18" t="n">
        <v>0.04528935185185185</v>
      </c>
      <c r="AJ14" s="18">
        <f>AI14-AH14</f>
        <v/>
      </c>
      <c r="AK14" s="14" t="n"/>
      <c r="AL14" s="14" t="n"/>
      <c r="AM14" s="14" t="n"/>
    </row>
    <row r="15" ht="17.1" customHeight="1">
      <c r="A15" s="13" t="inlineStr">
        <is>
          <t>MAGNANINI LORENZO</t>
        </is>
      </c>
      <c r="B15" s="14" t="inlineStr">
        <is>
          <t>MGNLNZ97M04H501T</t>
        </is>
      </c>
      <c r="C15" s="13" t="inlineStr">
        <is>
          <t>La programmazione - Tecninf - Fondoconoscenza</t>
        </is>
      </c>
      <c r="D15" s="15" t="n"/>
      <c r="E15" s="15" t="n"/>
      <c r="F15" s="15" t="n"/>
      <c r="G15" s="16" t="n"/>
      <c r="H15" s="16" t="n"/>
      <c r="I15" s="15" t="n"/>
      <c r="J15" s="15" t="n"/>
      <c r="K15" s="15" t="n"/>
      <c r="L15" s="15" t="n"/>
      <c r="M15" s="15" t="n"/>
      <c r="N15" s="16" t="n"/>
      <c r="O15" s="16" t="n"/>
      <c r="P15" s="15" t="n"/>
      <c r="Q15" s="15" t="n"/>
      <c r="R15" s="15" t="n"/>
      <c r="S15" s="15" t="n"/>
      <c r="T15" s="15" t="n"/>
      <c r="U15" s="16" t="n"/>
      <c r="V15" s="16" t="n"/>
      <c r="W15" s="15" t="n"/>
      <c r="X15" s="15" t="n"/>
      <c r="Y15" s="15" t="n"/>
      <c r="Z15" s="15" t="n"/>
      <c r="AA15" s="15" t="n"/>
      <c r="AB15" s="16" t="n"/>
      <c r="AC15" s="16" t="n"/>
      <c r="AD15" s="15" t="n"/>
      <c r="AE15" s="15" t="n"/>
      <c r="AF15" s="15" t="n"/>
      <c r="AG15" s="15" t="n"/>
      <c r="AH15" s="18">
        <f>SUM(D15:AG15)</f>
        <v/>
      </c>
      <c r="AI15" s="14" t="n"/>
      <c r="AJ15" s="18">
        <f>AI15-AH15</f>
        <v/>
      </c>
      <c r="AK15" s="14" t="n"/>
      <c r="AL15" s="14" t="n"/>
      <c r="AM15" s="14" t="n"/>
    </row>
    <row r="16" ht="17.1" customHeight="1">
      <c r="A16" s="13" t="inlineStr">
        <is>
          <t>MARIANI ALESSIA</t>
        </is>
      </c>
      <c r="B16" s="14" t="inlineStr">
        <is>
          <t>MRNLSS75L68H501L</t>
        </is>
      </c>
      <c r="C16" s="13" t="inlineStr">
        <is>
          <t>Big Data - Tecninf - Fondoconoscenza</t>
        </is>
      </c>
      <c r="D16" s="15" t="n"/>
      <c r="E16" s="15" t="n"/>
      <c r="F16" s="15" t="n"/>
      <c r="G16" s="16" t="n"/>
      <c r="H16" s="16" t="n"/>
      <c r="I16" s="15" t="n"/>
      <c r="J16" s="15" t="n"/>
      <c r="K16" s="15" t="n"/>
      <c r="L16" s="15" t="n"/>
      <c r="M16" s="15" t="n"/>
      <c r="N16" s="16" t="n"/>
      <c r="O16" s="16" t="n"/>
      <c r="P16" s="15" t="n"/>
      <c r="Q16" s="15" t="n"/>
      <c r="R16" s="15" t="n"/>
      <c r="S16" s="15" t="n"/>
      <c r="T16" s="15" t="n"/>
      <c r="U16" s="16" t="n"/>
      <c r="V16" s="16" t="n"/>
      <c r="W16" s="15" t="n"/>
      <c r="X16" s="15" t="n"/>
      <c r="Y16" s="15" t="n"/>
      <c r="Z16" s="15" t="n"/>
      <c r="AA16" s="15" t="n"/>
      <c r="AB16" s="16" t="n"/>
      <c r="AC16" s="16" t="n"/>
      <c r="AD16" s="15" t="n"/>
      <c r="AE16" s="15" t="n"/>
      <c r="AF16" s="15" t="n"/>
      <c r="AG16" s="15" t="n"/>
      <c r="AH16" s="18">
        <f>SUM(D16:AG16)</f>
        <v/>
      </c>
      <c r="AI16" s="14" t="n"/>
      <c r="AJ16" s="18">
        <f>AI16-AH16</f>
        <v/>
      </c>
      <c r="AK16" s="14" t="n"/>
      <c r="AL16" s="14" t="n"/>
      <c r="AM16" s="14" t="n"/>
    </row>
    <row r="17" ht="17.1" customHeight="1">
      <c r="A17" s="13" t="inlineStr">
        <is>
          <t>MASCELLINO GIULIO</t>
        </is>
      </c>
      <c r="B17" s="14" t="inlineStr">
        <is>
          <t>MSCGLI83C04G511L</t>
        </is>
      </c>
      <c r="C17" s="13" t="inlineStr">
        <is>
          <t>Big Data - Tecninf - Fondoconoscenza</t>
        </is>
      </c>
      <c r="D17" s="15" t="n"/>
      <c r="E17" s="15" t="n"/>
      <c r="F17" s="15" t="n"/>
      <c r="G17" s="16" t="n"/>
      <c r="H17" s="16" t="n"/>
      <c r="I17" s="15" t="n"/>
      <c r="J17" s="15" t="n"/>
      <c r="K17" s="15" t="n"/>
      <c r="L17" s="15" t="n"/>
      <c r="M17" s="15" t="n"/>
      <c r="N17" s="16" t="n"/>
      <c r="O17" s="16" t="n"/>
      <c r="P17" s="15" t="n"/>
      <c r="Q17" s="15" t="n"/>
      <c r="R17" s="15" t="n"/>
      <c r="S17" s="15" t="n"/>
      <c r="T17" s="15" t="n"/>
      <c r="U17" s="16" t="n"/>
      <c r="V17" s="16" t="n"/>
      <c r="W17" s="15" t="n"/>
      <c r="X17" s="15" t="n"/>
      <c r="Y17" s="15" t="n"/>
      <c r="Z17" s="15" t="n"/>
      <c r="AA17" s="15" t="n"/>
      <c r="AB17" s="16" t="n"/>
      <c r="AC17" s="16" t="n"/>
      <c r="AD17" s="15" t="n"/>
      <c r="AE17" s="15" t="n"/>
      <c r="AF17" s="15" t="n"/>
      <c r="AG17" s="15" t="n"/>
      <c r="AH17" s="18">
        <f>SUM(D17:AG17)</f>
        <v/>
      </c>
      <c r="AI17" s="14" t="n"/>
      <c r="AJ17" s="18">
        <f>AI17-AH17</f>
        <v/>
      </c>
      <c r="AK17" s="14" t="n"/>
      <c r="AL17" s="14" t="n"/>
      <c r="AM17" s="14" t="n"/>
    </row>
    <row r="18" ht="17.1" customHeight="1">
      <c r="A18" s="13" t="inlineStr">
        <is>
          <t>PACPACO MICHAEL DEPOLLY</t>
        </is>
      </c>
      <c r="B18" s="14" t="inlineStr">
        <is>
          <t>PCPMHL00R03H501G</t>
        </is>
      </c>
      <c r="C18" s="13" t="inlineStr">
        <is>
          <t>La programmazione - Tecninf - Fondoconoscenza</t>
        </is>
      </c>
      <c r="D18" s="15" t="n"/>
      <c r="E18" s="15" t="n"/>
      <c r="F18" s="15" t="n"/>
      <c r="G18" s="16" t="n"/>
      <c r="H18" s="16" t="n"/>
      <c r="I18" s="15" t="n"/>
      <c r="J18" s="15" t="n"/>
      <c r="K18" s="15" t="n"/>
      <c r="L18" s="15" t="n"/>
      <c r="M18" s="15" t="n"/>
      <c r="N18" s="16" t="n"/>
      <c r="O18" s="16" t="n"/>
      <c r="P18" s="15" t="n"/>
      <c r="Q18" s="15" t="n"/>
      <c r="R18" s="15" t="n"/>
      <c r="S18" s="15" t="n"/>
      <c r="T18" s="15" t="n"/>
      <c r="U18" s="16" t="n"/>
      <c r="V18" s="16" t="n"/>
      <c r="W18" s="15" t="n"/>
      <c r="X18" s="15" t="n"/>
      <c r="Y18" s="15" t="n"/>
      <c r="Z18" s="15" t="n"/>
      <c r="AA18" s="15" t="n"/>
      <c r="AB18" s="16" t="n"/>
      <c r="AC18" s="16" t="n"/>
      <c r="AD18" s="15" t="n"/>
      <c r="AE18" s="17" t="n">
        <v>0.08164351851851852</v>
      </c>
      <c r="AF18" s="17" t="n">
        <v>0.02649305555555555</v>
      </c>
      <c r="AG18" s="15" t="n"/>
      <c r="AH18" s="18">
        <f>SUM(D18:AG18)</f>
        <v/>
      </c>
      <c r="AI18" s="18" t="n">
        <v>0.1081365740740741</v>
      </c>
      <c r="AJ18" s="18">
        <f>AI18-AH18</f>
        <v/>
      </c>
      <c r="AK18" s="14" t="n"/>
      <c r="AL18" s="14" t="n"/>
      <c r="AM18" s="14" t="n"/>
    </row>
    <row r="19" ht="17.1" customHeight="1">
      <c r="A19" s="13" t="inlineStr">
        <is>
          <t>PASSIO ROBERTA</t>
        </is>
      </c>
      <c r="B19" s="14" t="inlineStr">
        <is>
          <t>PSSRRT76L56H501O</t>
        </is>
      </c>
      <c r="C19" s="13" t="inlineStr">
        <is>
          <t>Sicurezza Informatica - Tecninf - Fondoconoscenza</t>
        </is>
      </c>
      <c r="D19" s="15" t="n"/>
      <c r="E19" s="15" t="n"/>
      <c r="F19" s="15" t="n"/>
      <c r="G19" s="16" t="n"/>
      <c r="H19" s="16" t="n"/>
      <c r="I19" s="15" t="n"/>
      <c r="J19" s="15" t="n"/>
      <c r="K19" s="15" t="n"/>
      <c r="L19" s="15" t="n"/>
      <c r="M19" s="15" t="n"/>
      <c r="N19" s="16" t="n"/>
      <c r="O19" s="16" t="n"/>
      <c r="P19" s="15" t="n"/>
      <c r="Q19" s="15" t="n"/>
      <c r="R19" s="15" t="n"/>
      <c r="S19" s="15" t="n"/>
      <c r="T19" s="15" t="n"/>
      <c r="U19" s="16" t="n"/>
      <c r="V19" s="16" t="n"/>
      <c r="W19" s="15" t="n"/>
      <c r="X19" s="15" t="n"/>
      <c r="Y19" s="15" t="n"/>
      <c r="Z19" s="15" t="n"/>
      <c r="AA19" s="15" t="n"/>
      <c r="AB19" s="16" t="n"/>
      <c r="AC19" s="16" t="n"/>
      <c r="AD19" s="15" t="n"/>
      <c r="AE19" s="15" t="n"/>
      <c r="AF19" s="15" t="n"/>
      <c r="AG19" s="15" t="n"/>
      <c r="AH19" s="18">
        <f>SUM(D19:AG19)</f>
        <v/>
      </c>
      <c r="AI19" s="14" t="n"/>
      <c r="AJ19" s="18">
        <f>AI19-AH19</f>
        <v/>
      </c>
      <c r="AK19" s="14" t="n"/>
      <c r="AL19" s="14" t="n"/>
      <c r="AM19" s="14" t="n"/>
    </row>
    <row r="20" ht="17.1" customHeight="1">
      <c r="A20" s="13" t="inlineStr">
        <is>
          <t>PERILLA GIAN LEO GAMES</t>
        </is>
      </c>
      <c r="B20" s="14" t="inlineStr">
        <is>
          <t>PRLGLG98M18H501X</t>
        </is>
      </c>
      <c r="C20" s="13" t="inlineStr">
        <is>
          <t>Big Data - Tecninf - Fondoconoscenza</t>
        </is>
      </c>
      <c r="D20" s="15" t="n"/>
      <c r="E20" s="15" t="n"/>
      <c r="F20" s="15" t="n"/>
      <c r="G20" s="16" t="n"/>
      <c r="H20" s="16" t="n"/>
      <c r="I20" s="15" t="n"/>
      <c r="J20" s="15" t="n"/>
      <c r="K20" s="15" t="n"/>
      <c r="L20" s="15" t="n"/>
      <c r="M20" s="15" t="n"/>
      <c r="N20" s="16" t="n"/>
      <c r="O20" s="16" t="n"/>
      <c r="P20" s="15" t="n"/>
      <c r="Q20" s="15" t="n"/>
      <c r="R20" s="15" t="n"/>
      <c r="S20" s="15" t="n"/>
      <c r="T20" s="15" t="n"/>
      <c r="U20" s="16" t="n"/>
      <c r="V20" s="16" t="n"/>
      <c r="W20" s="15" t="n"/>
      <c r="X20" s="15" t="n"/>
      <c r="Y20" s="15" t="n"/>
      <c r="Z20" s="15" t="n"/>
      <c r="AA20" s="15" t="n"/>
      <c r="AB20" s="16" t="n"/>
      <c r="AC20" s="16" t="n"/>
      <c r="AD20" s="15" t="n"/>
      <c r="AE20" s="15" t="n"/>
      <c r="AF20" s="15" t="n"/>
      <c r="AG20" s="15" t="n"/>
      <c r="AH20" s="18">
        <f>SUM(D20:AG20)</f>
        <v/>
      </c>
      <c r="AI20" s="14" t="n"/>
      <c r="AJ20" s="18">
        <f>AI20-AH20</f>
        <v/>
      </c>
      <c r="AK20" s="14" t="n"/>
      <c r="AL20" s="14" t="n"/>
      <c r="AM20" s="14" t="n"/>
    </row>
    <row r="21" ht="17.1" customHeight="1">
      <c r="A21" s="13" t="inlineStr">
        <is>
          <t>PINNA ROBERTO CAO</t>
        </is>
      </c>
      <c r="B21" s="14" t="inlineStr">
        <is>
          <t>CPNRRT66D27H501V</t>
        </is>
      </c>
      <c r="C21" s="13" t="inlineStr">
        <is>
          <t>Project Management per il digitale - Tecninf - Fondoconoscenza</t>
        </is>
      </c>
      <c r="D21" s="15" t="n"/>
      <c r="E21" s="15" t="n"/>
      <c r="F21" s="15" t="n"/>
      <c r="G21" s="16" t="n"/>
      <c r="H21" s="16" t="n"/>
      <c r="I21" s="15" t="n"/>
      <c r="J21" s="15" t="n"/>
      <c r="K21" s="15" t="n"/>
      <c r="L21" s="15" t="n"/>
      <c r="M21" s="15" t="n"/>
      <c r="N21" s="16" t="n"/>
      <c r="O21" s="16" t="n"/>
      <c r="P21" s="15" t="n"/>
      <c r="Q21" s="15" t="n"/>
      <c r="R21" s="15" t="n"/>
      <c r="S21" s="15" t="n"/>
      <c r="T21" s="15" t="n"/>
      <c r="U21" s="16" t="n"/>
      <c r="V21" s="16" t="n"/>
      <c r="W21" s="15" t="n"/>
      <c r="X21" s="15" t="n"/>
      <c r="Y21" s="15" t="n"/>
      <c r="Z21" s="15" t="n"/>
      <c r="AA21" s="15" t="n"/>
      <c r="AB21" s="16" t="n"/>
      <c r="AC21" s="16" t="n"/>
      <c r="AD21" s="15" t="n"/>
      <c r="AE21" s="15" t="n"/>
      <c r="AF21" s="15" t="n"/>
      <c r="AG21" s="15" t="n"/>
      <c r="AH21" s="18">
        <f>SUM(D21:AG21)</f>
        <v/>
      </c>
      <c r="AI21" s="14" t="n"/>
      <c r="AJ21" s="18">
        <f>AI21-AH21</f>
        <v/>
      </c>
      <c r="AK21" s="14" t="n"/>
      <c r="AL21" s="14" t="n"/>
      <c r="AM21" s="14" t="n"/>
    </row>
    <row r="22" ht="17.1" customHeight="1">
      <c r="A22" s="13" t="inlineStr">
        <is>
          <t>POGGI ROBERTO</t>
        </is>
      </c>
      <c r="B22" s="14" t="inlineStr">
        <is>
          <t>PGGRRT91H07F839Q</t>
        </is>
      </c>
      <c r="C22" s="13" t="inlineStr">
        <is>
          <t>Big Data - Tecninf - Fondoconoscenza</t>
        </is>
      </c>
      <c r="D22" s="15" t="n"/>
      <c r="E22" s="15" t="n"/>
      <c r="F22" s="15" t="n"/>
      <c r="G22" s="16" t="n"/>
      <c r="H22" s="16" t="n"/>
      <c r="I22" s="15" t="n"/>
      <c r="J22" s="15" t="n"/>
      <c r="K22" s="15" t="n"/>
      <c r="L22" s="15" t="n"/>
      <c r="M22" s="15" t="n"/>
      <c r="N22" s="16" t="n"/>
      <c r="O22" s="16" t="n"/>
      <c r="P22" s="15" t="n"/>
      <c r="Q22" s="15" t="n"/>
      <c r="R22" s="15" t="n"/>
      <c r="S22" s="15" t="n"/>
      <c r="T22" s="15" t="n"/>
      <c r="U22" s="16" t="n"/>
      <c r="V22" s="16" t="n"/>
      <c r="W22" s="15" t="n"/>
      <c r="X22" s="15" t="n"/>
      <c r="Y22" s="15" t="n"/>
      <c r="Z22" s="15" t="n"/>
      <c r="AA22" s="15" t="n"/>
      <c r="AB22" s="16" t="n"/>
      <c r="AC22" s="16" t="n"/>
      <c r="AD22" s="15" t="n"/>
      <c r="AE22" s="17" t="n">
        <v>0.006828703703703704</v>
      </c>
      <c r="AF22" s="15" t="n"/>
      <c r="AG22" s="15" t="n"/>
      <c r="AH22" s="18">
        <f>SUM(D22:AG22)</f>
        <v/>
      </c>
      <c r="AI22" s="18" t="n">
        <v>0.006828703703703704</v>
      </c>
      <c r="AJ22" s="18">
        <f>AI22-AH22</f>
        <v/>
      </c>
      <c r="AK22" s="14" t="n"/>
      <c r="AL22" s="14" t="n"/>
      <c r="AM22" s="14" t="n"/>
    </row>
    <row r="23" ht="17.1" customHeight="1">
      <c r="A23" s="13" t="inlineStr">
        <is>
          <t>PRASAD RAKESH KUMAR</t>
        </is>
      </c>
      <c r="B23" s="14" t="inlineStr">
        <is>
          <t>PRSRSH87S19H501S</t>
        </is>
      </c>
      <c r="C23" s="13" t="inlineStr">
        <is>
          <t>Sicurezza Informatica - Tecninf - Fondoconoscenza</t>
        </is>
      </c>
      <c r="D23" s="15" t="n"/>
      <c r="E23" s="15" t="n"/>
      <c r="F23" s="15" t="n"/>
      <c r="G23" s="16" t="n"/>
      <c r="H23" s="16" t="n"/>
      <c r="I23" s="15" t="n"/>
      <c r="J23" s="15" t="n"/>
      <c r="K23" s="15" t="n"/>
      <c r="L23" s="15" t="n"/>
      <c r="M23" s="15" t="n"/>
      <c r="N23" s="16" t="n"/>
      <c r="O23" s="16" t="n"/>
      <c r="P23" s="15" t="n"/>
      <c r="Q23" s="15" t="n"/>
      <c r="R23" s="15" t="n"/>
      <c r="S23" s="15" t="n"/>
      <c r="T23" s="15" t="n"/>
      <c r="U23" s="16" t="n"/>
      <c r="V23" s="16" t="n"/>
      <c r="W23" s="15" t="n"/>
      <c r="X23" s="15" t="n"/>
      <c r="Y23" s="15" t="n"/>
      <c r="Z23" s="15" t="n"/>
      <c r="AA23" s="15" t="n"/>
      <c r="AB23" s="16" t="n"/>
      <c r="AC23" s="16" t="n"/>
      <c r="AD23" s="15" t="n"/>
      <c r="AE23" s="15" t="n"/>
      <c r="AF23" s="15" t="n"/>
      <c r="AG23" s="15" t="n"/>
      <c r="AH23" s="18">
        <f>SUM(D23:AG23)</f>
        <v/>
      </c>
      <c r="AI23" s="14" t="n"/>
      <c r="AJ23" s="18">
        <f>AI23-AH23</f>
        <v/>
      </c>
      <c r="AK23" s="14" t="n"/>
      <c r="AL23" s="14" t="n"/>
      <c r="AM23" s="14" t="n"/>
    </row>
    <row r="24" ht="17.1" customHeight="1">
      <c r="A24" s="13" t="inlineStr">
        <is>
          <t>PUDDU RAIMONDO</t>
        </is>
      </c>
      <c r="B24" s="14" t="inlineStr">
        <is>
          <t>PDDRND75R08H501S</t>
        </is>
      </c>
      <c r="C24" s="13" t="inlineStr">
        <is>
          <t>Big Data - Tecninf - Fondoconoscenza</t>
        </is>
      </c>
      <c r="D24" s="15" t="n"/>
      <c r="E24" s="15" t="n"/>
      <c r="F24" s="15" t="n"/>
      <c r="G24" s="16" t="n"/>
      <c r="H24" s="16" t="n"/>
      <c r="I24" s="15" t="n"/>
      <c r="J24" s="15" t="n"/>
      <c r="K24" s="15" t="n"/>
      <c r="L24" s="15" t="n"/>
      <c r="M24" s="15" t="n"/>
      <c r="N24" s="16" t="n"/>
      <c r="O24" s="16" t="n"/>
      <c r="P24" s="15" t="n"/>
      <c r="Q24" s="15" t="n"/>
      <c r="R24" s="15" t="n"/>
      <c r="S24" s="15" t="n"/>
      <c r="T24" s="15" t="n"/>
      <c r="U24" s="16" t="n"/>
      <c r="V24" s="16" t="n"/>
      <c r="W24" s="15" t="n"/>
      <c r="X24" s="15" t="n"/>
      <c r="Y24" s="15" t="n"/>
      <c r="Z24" s="15" t="n"/>
      <c r="AA24" s="15" t="n"/>
      <c r="AB24" s="16" t="n"/>
      <c r="AC24" s="16" t="n"/>
      <c r="AD24" s="15" t="n"/>
      <c r="AE24" s="15" t="n"/>
      <c r="AF24" s="15" t="n"/>
      <c r="AG24" s="17" t="n">
        <v>0.0005902777777777778</v>
      </c>
      <c r="AH24" s="18">
        <f>SUM(D24:AG24)</f>
        <v/>
      </c>
      <c r="AI24" s="18" t="n">
        <v>0.0005902777777777778</v>
      </c>
      <c r="AJ24" s="18">
        <f>AI24-AH24</f>
        <v/>
      </c>
      <c r="AK24" s="14" t="n"/>
      <c r="AL24" s="14" t="n"/>
      <c r="AM24" s="14" t="n"/>
    </row>
    <row r="25" ht="17.1" customHeight="1">
      <c r="A25" s="13" t="inlineStr">
        <is>
          <t>RANIERI FRANCESCO</t>
        </is>
      </c>
      <c r="B25" s="14" t="inlineStr">
        <is>
          <t>RNRFNC99L28H501B</t>
        </is>
      </c>
      <c r="C25" s="13" t="inlineStr">
        <is>
          <t>La programmazione - Tecninf - Fondoconoscenza</t>
        </is>
      </c>
      <c r="D25" s="15" t="n"/>
      <c r="E25" s="15" t="n"/>
      <c r="F25" s="15" t="n"/>
      <c r="G25" s="16" t="n"/>
      <c r="H25" s="16" t="n"/>
      <c r="I25" s="15" t="n"/>
      <c r="J25" s="15" t="n"/>
      <c r="K25" s="15" t="n"/>
      <c r="L25" s="15" t="n"/>
      <c r="M25" s="15" t="n"/>
      <c r="N25" s="16" t="n"/>
      <c r="O25" s="16" t="n"/>
      <c r="P25" s="15" t="n"/>
      <c r="Q25" s="15" t="n"/>
      <c r="R25" s="15" t="n"/>
      <c r="S25" s="15" t="n"/>
      <c r="T25" s="15" t="n"/>
      <c r="U25" s="16" t="n"/>
      <c r="V25" s="16" t="n"/>
      <c r="W25" s="15" t="n"/>
      <c r="X25" s="15" t="n"/>
      <c r="Y25" s="15" t="n"/>
      <c r="Z25" s="15" t="n"/>
      <c r="AA25" s="15" t="n"/>
      <c r="AB25" s="16" t="n"/>
      <c r="AC25" s="16" t="n"/>
      <c r="AD25" s="15" t="n"/>
      <c r="AE25" s="15" t="n"/>
      <c r="AF25" s="15" t="n"/>
      <c r="AG25" s="15" t="n"/>
      <c r="AH25" s="18">
        <f>SUM(D25:AG25)</f>
        <v/>
      </c>
      <c r="AI25" s="14" t="n"/>
      <c r="AJ25" s="18">
        <f>AI25-AH25</f>
        <v/>
      </c>
      <c r="AK25" s="14" t="n"/>
      <c r="AL25" s="14" t="n"/>
      <c r="AM25" s="14" t="n"/>
    </row>
    <row r="26" ht="17.1" customHeight="1">
      <c r="A26" s="13" t="inlineStr">
        <is>
          <t>ROSA JEREMY DELA</t>
        </is>
      </c>
      <c r="B26" s="14" t="inlineStr">
        <is>
          <t>DLRJMY02A20H501A</t>
        </is>
      </c>
      <c r="C26" s="13" t="inlineStr">
        <is>
          <t>Big Data - Tecninf - Fondoconoscenza</t>
        </is>
      </c>
      <c r="D26" s="15" t="n"/>
      <c r="E26" s="15" t="n"/>
      <c r="F26" s="15" t="n"/>
      <c r="G26" s="16" t="n"/>
      <c r="H26" s="16" t="n"/>
      <c r="I26" s="15" t="n"/>
      <c r="J26" s="15" t="n"/>
      <c r="K26" s="15" t="n"/>
      <c r="L26" s="15" t="n"/>
      <c r="M26" s="15" t="n"/>
      <c r="N26" s="16" t="n"/>
      <c r="O26" s="16" t="n"/>
      <c r="P26" s="15" t="n"/>
      <c r="Q26" s="15" t="n"/>
      <c r="R26" s="15" t="n"/>
      <c r="S26" s="15" t="n"/>
      <c r="T26" s="15" t="n"/>
      <c r="U26" s="16" t="n"/>
      <c r="V26" s="16" t="n"/>
      <c r="W26" s="15" t="n"/>
      <c r="X26" s="15" t="n"/>
      <c r="Y26" s="15" t="n"/>
      <c r="Z26" s="15" t="n"/>
      <c r="AA26" s="15" t="n"/>
      <c r="AB26" s="16" t="n"/>
      <c r="AC26" s="16" t="n"/>
      <c r="AD26" s="15" t="n"/>
      <c r="AE26" s="15" t="n"/>
      <c r="AF26" s="15" t="n"/>
      <c r="AG26" s="15" t="n"/>
      <c r="AH26" s="18">
        <f>SUM(D26:AG26)</f>
        <v/>
      </c>
      <c r="AI26" s="14" t="n"/>
      <c r="AJ26" s="18">
        <f>AI26-AH26</f>
        <v/>
      </c>
      <c r="AK26" s="14" t="n"/>
      <c r="AL26" s="14" t="n"/>
      <c r="AM26" s="14" t="n"/>
    </row>
    <row r="27" ht="17.1" customHeight="1">
      <c r="A27" s="13" t="inlineStr">
        <is>
          <t>SALPIETRO GIANLUCA</t>
        </is>
      </c>
      <c r="B27" s="14" t="inlineStr">
        <is>
          <t>SLPGLC81B17G377J</t>
        </is>
      </c>
      <c r="C27" s="13" t="inlineStr">
        <is>
          <t>Big Data - Tecninf - Fondoconoscenza</t>
        </is>
      </c>
      <c r="D27" s="15" t="n"/>
      <c r="E27" s="15" t="n"/>
      <c r="F27" s="15" t="n"/>
      <c r="G27" s="16" t="n"/>
      <c r="H27" s="16" t="n"/>
      <c r="I27" s="15" t="n"/>
      <c r="J27" s="15" t="n"/>
      <c r="K27" s="15" t="n"/>
      <c r="L27" s="15" t="n"/>
      <c r="M27" s="15" t="n"/>
      <c r="N27" s="16" t="n"/>
      <c r="O27" s="16" t="n"/>
      <c r="P27" s="15" t="n"/>
      <c r="Q27" s="15" t="n"/>
      <c r="R27" s="15" t="n"/>
      <c r="S27" s="15" t="n"/>
      <c r="T27" s="15" t="n"/>
      <c r="U27" s="16" t="n"/>
      <c r="V27" s="16" t="n"/>
      <c r="W27" s="15" t="n"/>
      <c r="X27" s="15" t="n"/>
      <c r="Y27" s="15" t="n"/>
      <c r="Z27" s="15" t="n"/>
      <c r="AA27" s="15" t="n"/>
      <c r="AB27" s="16" t="n"/>
      <c r="AC27" s="16" t="n"/>
      <c r="AD27" s="15" t="n"/>
      <c r="AE27" s="15" t="n"/>
      <c r="AF27" s="15" t="n"/>
      <c r="AG27" s="15" t="n"/>
      <c r="AH27" s="18">
        <f>SUM(D27:AG27)</f>
        <v/>
      </c>
      <c r="AI27" s="14" t="n"/>
      <c r="AJ27" s="18">
        <f>AI27-AH27</f>
        <v/>
      </c>
      <c r="AK27" s="14" t="n"/>
      <c r="AL27" s="14" t="n"/>
      <c r="AM27" s="14" t="n"/>
    </row>
    <row r="28" ht="17.1" customHeight="1">
      <c r="A28" s="13" t="inlineStr">
        <is>
          <t>SALVATI CARMINE</t>
        </is>
      </c>
      <c r="B28" s="14" t="inlineStr">
        <is>
          <t>SLVCMN80D14D086Z</t>
        </is>
      </c>
      <c r="C28" s="13" t="inlineStr">
        <is>
          <t>Big Data - Tecninf - Fondoconoscenza</t>
        </is>
      </c>
      <c r="D28" s="15" t="n"/>
      <c r="E28" s="15" t="n"/>
      <c r="F28" s="15" t="n"/>
      <c r="G28" s="16" t="n"/>
      <c r="H28" s="16" t="n"/>
      <c r="I28" s="15" t="n"/>
      <c r="J28" s="15" t="n"/>
      <c r="K28" s="15" t="n"/>
      <c r="L28" s="15" t="n"/>
      <c r="M28" s="15" t="n"/>
      <c r="N28" s="16" t="n"/>
      <c r="O28" s="16" t="n"/>
      <c r="P28" s="15" t="n"/>
      <c r="Q28" s="15" t="n"/>
      <c r="R28" s="15" t="n"/>
      <c r="S28" s="15" t="n"/>
      <c r="T28" s="15" t="n"/>
      <c r="U28" s="16" t="n"/>
      <c r="V28" s="16" t="n"/>
      <c r="W28" s="15" t="n"/>
      <c r="X28" s="15" t="n"/>
      <c r="Y28" s="15" t="n"/>
      <c r="Z28" s="15" t="n"/>
      <c r="AA28" s="15" t="n"/>
      <c r="AB28" s="16" t="n"/>
      <c r="AC28" s="16" t="n"/>
      <c r="AD28" s="15" t="n"/>
      <c r="AE28" s="15" t="n"/>
      <c r="AF28" s="15" t="n"/>
      <c r="AG28" s="15" t="n"/>
      <c r="AH28" s="18">
        <f>SUM(D28:AG28)</f>
        <v/>
      </c>
      <c r="AI28" s="14" t="n"/>
      <c r="AJ28" s="18">
        <f>AI28-AH28</f>
        <v/>
      </c>
      <c r="AK28" s="14" t="n"/>
      <c r="AL28" s="14" t="n"/>
      <c r="AM28" s="14" t="n"/>
    </row>
    <row r="29" ht="17.1" customHeight="1">
      <c r="A29" s="13" t="inlineStr">
        <is>
          <t>SAMBRINI ALESSIA</t>
        </is>
      </c>
      <c r="B29" s="14" t="inlineStr">
        <is>
          <t>SMBLSS74D47H501E</t>
        </is>
      </c>
      <c r="C29" s="13" t="inlineStr">
        <is>
          <t>Big Data - Tecninf - Fondoconoscenza</t>
        </is>
      </c>
      <c r="D29" s="15" t="n"/>
      <c r="E29" s="15" t="n"/>
      <c r="F29" s="15" t="n"/>
      <c r="G29" s="16" t="n"/>
      <c r="H29" s="16" t="n"/>
      <c r="I29" s="15" t="n"/>
      <c r="J29" s="15" t="n"/>
      <c r="K29" s="15" t="n"/>
      <c r="L29" s="15" t="n"/>
      <c r="M29" s="15" t="n"/>
      <c r="N29" s="16" t="n"/>
      <c r="O29" s="16" t="n"/>
      <c r="P29" s="15" t="n"/>
      <c r="Q29" s="15" t="n"/>
      <c r="R29" s="15" t="n"/>
      <c r="S29" s="15" t="n"/>
      <c r="T29" s="15" t="n"/>
      <c r="U29" s="16" t="n"/>
      <c r="V29" s="16" t="n"/>
      <c r="W29" s="15" t="n"/>
      <c r="X29" s="15" t="n"/>
      <c r="Y29" s="15" t="n"/>
      <c r="Z29" s="15" t="n"/>
      <c r="AA29" s="15" t="n"/>
      <c r="AB29" s="16" t="n"/>
      <c r="AC29" s="16" t="n"/>
      <c r="AD29" s="15" t="n"/>
      <c r="AE29" s="15" t="n"/>
      <c r="AF29" s="15" t="n"/>
      <c r="AG29" s="15" t="n"/>
      <c r="AH29" s="18">
        <f>SUM(D29:AG29)</f>
        <v/>
      </c>
      <c r="AI29" s="14" t="n"/>
      <c r="AJ29" s="18">
        <f>AI29-AH29</f>
        <v/>
      </c>
      <c r="AK29" s="14" t="n"/>
      <c r="AL29" s="14" t="n"/>
      <c r="AM29" s="14" t="n"/>
    </row>
    <row r="30" ht="17.1" customHeight="1">
      <c r="A30" s="13" t="inlineStr">
        <is>
          <t>SAVAIANO SILVIA</t>
        </is>
      </c>
      <c r="B30" s="14" t="inlineStr">
        <is>
          <t>SVNSLV89A46H501I</t>
        </is>
      </c>
      <c r="C30" s="13" t="inlineStr">
        <is>
          <t>La programmazione - Tecninf - Fondoconoscenza</t>
        </is>
      </c>
      <c r="D30" s="15" t="n"/>
      <c r="E30" s="15" t="n"/>
      <c r="F30" s="15" t="n"/>
      <c r="G30" s="16" t="n"/>
      <c r="H30" s="16" t="n"/>
      <c r="I30" s="15" t="n"/>
      <c r="J30" s="15" t="n"/>
      <c r="K30" s="15" t="n"/>
      <c r="L30" s="15" t="n"/>
      <c r="M30" s="15" t="n"/>
      <c r="N30" s="16" t="n"/>
      <c r="O30" s="16" t="n"/>
      <c r="P30" s="15" t="n"/>
      <c r="Q30" s="15" t="n"/>
      <c r="R30" s="15" t="n"/>
      <c r="S30" s="15" t="n"/>
      <c r="T30" s="15" t="n"/>
      <c r="U30" s="16" t="n"/>
      <c r="V30" s="16" t="n"/>
      <c r="W30" s="15" t="n"/>
      <c r="X30" s="15" t="n"/>
      <c r="Y30" s="15" t="n"/>
      <c r="Z30" s="15" t="n"/>
      <c r="AA30" s="15" t="n"/>
      <c r="AB30" s="16" t="n"/>
      <c r="AC30" s="16" t="n"/>
      <c r="AD30" s="15" t="n"/>
      <c r="AE30" s="15" t="n"/>
      <c r="AF30" s="15" t="n"/>
      <c r="AG30" s="15" t="n"/>
      <c r="AH30" s="18">
        <f>SUM(D30:AG30)</f>
        <v/>
      </c>
      <c r="AI30" s="14" t="n"/>
      <c r="AJ30" s="18">
        <f>AI30-AH30</f>
        <v/>
      </c>
      <c r="AK30" s="14" t="n"/>
      <c r="AL30" s="14" t="n"/>
      <c r="AM30" s="14" t="n"/>
    </row>
    <row r="31" ht="17.1" customHeight="1">
      <c r="A31" s="13" t="inlineStr">
        <is>
          <t>SCALVEDI FILIPPO</t>
        </is>
      </c>
      <c r="B31" s="14" t="inlineStr">
        <is>
          <t>SCLFPP97S05H501K</t>
        </is>
      </c>
      <c r="C31" s="13" t="inlineStr">
        <is>
          <t>Big Data - Tecninf - Fondoconoscenza</t>
        </is>
      </c>
      <c r="D31" s="15" t="n"/>
      <c r="E31" s="15" t="n"/>
      <c r="F31" s="15" t="n"/>
      <c r="G31" s="16" t="n"/>
      <c r="H31" s="16" t="n"/>
      <c r="I31" s="15" t="n"/>
      <c r="J31" s="15" t="n"/>
      <c r="K31" s="15" t="n"/>
      <c r="L31" s="15" t="n"/>
      <c r="M31" s="15" t="n"/>
      <c r="N31" s="16" t="n"/>
      <c r="O31" s="16" t="n"/>
      <c r="P31" s="15" t="n"/>
      <c r="Q31" s="15" t="n"/>
      <c r="R31" s="15" t="n"/>
      <c r="S31" s="15" t="n"/>
      <c r="T31" s="15" t="n"/>
      <c r="U31" s="16" t="n"/>
      <c r="V31" s="16" t="n"/>
      <c r="W31" s="15" t="n"/>
      <c r="X31" s="15" t="n"/>
      <c r="Y31" s="15" t="n"/>
      <c r="Z31" s="15" t="n"/>
      <c r="AA31" s="15" t="n"/>
      <c r="AB31" s="16" t="n"/>
      <c r="AC31" s="16" t="n"/>
      <c r="AD31" s="15" t="n"/>
      <c r="AE31" s="15" t="n"/>
      <c r="AF31" s="17" t="n">
        <v>0.01844907407407407</v>
      </c>
      <c r="AG31" s="15" t="n"/>
      <c r="AH31" s="18">
        <f>SUM(D31:AG31)</f>
        <v/>
      </c>
      <c r="AI31" s="18" t="n">
        <v>0.01844907407407407</v>
      </c>
      <c r="AJ31" s="18">
        <f>AI31-AH31</f>
        <v/>
      </c>
      <c r="AK31" s="14" t="n"/>
      <c r="AL31" s="14" t="n"/>
      <c r="AM31" s="14" t="n"/>
    </row>
    <row r="32" ht="17.1" customHeight="1">
      <c r="A32" s="13" t="inlineStr">
        <is>
          <t>SCRIMIERI TIZIANO</t>
        </is>
      </c>
      <c r="B32" s="14" t="inlineStr">
        <is>
          <t>SCRTZN80A09H501I</t>
        </is>
      </c>
      <c r="C32" s="13" t="inlineStr">
        <is>
          <t>Big Data - Tecninf - Fondoconoscenza</t>
        </is>
      </c>
      <c r="D32" s="15" t="n"/>
      <c r="E32" s="15" t="n"/>
      <c r="F32" s="15" t="n"/>
      <c r="G32" s="16" t="n"/>
      <c r="H32" s="16" t="n"/>
      <c r="I32" s="15" t="n"/>
      <c r="J32" s="15" t="n"/>
      <c r="K32" s="15" t="n"/>
      <c r="L32" s="15" t="n"/>
      <c r="M32" s="15" t="n"/>
      <c r="N32" s="16" t="n"/>
      <c r="O32" s="16" t="n"/>
      <c r="P32" s="15" t="n"/>
      <c r="Q32" s="15" t="n"/>
      <c r="R32" s="15" t="n"/>
      <c r="S32" s="15" t="n"/>
      <c r="T32" s="15" t="n"/>
      <c r="U32" s="16" t="n"/>
      <c r="V32" s="16" t="n"/>
      <c r="W32" s="15" t="n"/>
      <c r="X32" s="15" t="n"/>
      <c r="Y32" s="15" t="n"/>
      <c r="Z32" s="15" t="n"/>
      <c r="AA32" s="15" t="n"/>
      <c r="AB32" s="16" t="n"/>
      <c r="AC32" s="16" t="n"/>
      <c r="AD32" s="15" t="n"/>
      <c r="AE32" s="15" t="n"/>
      <c r="AF32" s="15" t="n"/>
      <c r="AG32" s="15" t="n"/>
      <c r="AH32" s="18">
        <f>SUM(D32:AG32)</f>
        <v/>
      </c>
      <c r="AI32" s="14" t="n"/>
      <c r="AJ32" s="18">
        <f>AI32-AH32</f>
        <v/>
      </c>
      <c r="AK32" s="14" t="n"/>
      <c r="AL32" s="14" t="n"/>
      <c r="AM32" s="14" t="n"/>
    </row>
    <row r="33" ht="17.1" customHeight="1">
      <c r="A33" s="13" t="inlineStr">
        <is>
          <t>STASIUC DENIS</t>
        </is>
      </c>
      <c r="B33" s="14" t="inlineStr">
        <is>
          <t>STSDNS91B05Z140T</t>
        </is>
      </c>
      <c r="C33" s="13" t="inlineStr">
        <is>
          <t>Big Data - Tecninf - Fondoconoscenza</t>
        </is>
      </c>
      <c r="D33" s="15" t="n"/>
      <c r="E33" s="15" t="n"/>
      <c r="F33" s="15" t="n"/>
      <c r="G33" s="16" t="n"/>
      <c r="H33" s="16" t="n"/>
      <c r="I33" s="15" t="n"/>
      <c r="J33" s="15" t="n"/>
      <c r="K33" s="15" t="n"/>
      <c r="L33" s="15" t="n"/>
      <c r="M33" s="15" t="n"/>
      <c r="N33" s="16" t="n"/>
      <c r="O33" s="16" t="n"/>
      <c r="P33" s="15" t="n"/>
      <c r="Q33" s="15" t="n"/>
      <c r="R33" s="15" t="n"/>
      <c r="S33" s="15" t="n"/>
      <c r="T33" s="15" t="n"/>
      <c r="U33" s="16" t="n"/>
      <c r="V33" s="16" t="n"/>
      <c r="W33" s="15" t="n"/>
      <c r="X33" s="15" t="n"/>
      <c r="Y33" s="15" t="n"/>
      <c r="Z33" s="15" t="n"/>
      <c r="AA33" s="15" t="n"/>
      <c r="AB33" s="16" t="n"/>
      <c r="AC33" s="16" t="n"/>
      <c r="AD33" s="15" t="n"/>
      <c r="AE33" s="17" t="n">
        <v>0.02331018518518518</v>
      </c>
      <c r="AF33" s="15" t="n"/>
      <c r="AG33" s="17" t="n">
        <v>0.01268518518518518</v>
      </c>
      <c r="AH33" s="18">
        <f>SUM(D33:AG33)</f>
        <v/>
      </c>
      <c r="AI33" s="18" t="n">
        <v>0.03599537037037037</v>
      </c>
      <c r="AJ33" s="18">
        <f>AI33-AH33</f>
        <v/>
      </c>
      <c r="AK33" s="14" t="n"/>
      <c r="AL33" s="14" t="n"/>
      <c r="AM33" s="14" t="n"/>
    </row>
    <row r="34" ht="17.1" customHeight="1">
      <c r="A34" s="13" t="inlineStr">
        <is>
          <t>TARISCIOTTI ANDREA</t>
        </is>
      </c>
      <c r="B34" s="14" t="inlineStr">
        <is>
          <t>TRSNDR97M24H501B</t>
        </is>
      </c>
      <c r="C34" s="13" t="inlineStr">
        <is>
          <t>La programmazione - Tecninf - Fondoconoscenza</t>
        </is>
      </c>
      <c r="D34" s="15" t="n"/>
      <c r="E34" s="15" t="n"/>
      <c r="F34" s="15" t="n"/>
      <c r="G34" s="16" t="n"/>
      <c r="H34" s="16" t="n"/>
      <c r="I34" s="15" t="n"/>
      <c r="J34" s="15" t="n"/>
      <c r="K34" s="15" t="n"/>
      <c r="L34" s="15" t="n"/>
      <c r="M34" s="15" t="n"/>
      <c r="N34" s="16" t="n"/>
      <c r="O34" s="16" t="n"/>
      <c r="P34" s="15" t="n"/>
      <c r="Q34" s="15" t="n"/>
      <c r="R34" s="15" t="n"/>
      <c r="S34" s="15" t="n"/>
      <c r="T34" s="15" t="n"/>
      <c r="U34" s="16" t="n"/>
      <c r="V34" s="16" t="n"/>
      <c r="W34" s="15" t="n"/>
      <c r="X34" s="15" t="n"/>
      <c r="Y34" s="15" t="n"/>
      <c r="Z34" s="15" t="n"/>
      <c r="AA34" s="15" t="n"/>
      <c r="AB34" s="16" t="n"/>
      <c r="AC34" s="16" t="n"/>
      <c r="AD34" s="15" t="n"/>
      <c r="AE34" s="19" t="n">
        <v>0.0004050925925925926</v>
      </c>
      <c r="AF34" s="15" t="n"/>
      <c r="AG34" s="19" t="n">
        <v>0</v>
      </c>
      <c r="AH34" s="18">
        <f>SUM(D34:AG34)</f>
        <v/>
      </c>
      <c r="AI34" s="18" t="n">
        <v>0.03275462962962963</v>
      </c>
      <c r="AJ34" s="18">
        <f>AI34-AH34</f>
        <v/>
      </c>
      <c r="AK34" s="14" t="n"/>
      <c r="AL34" s="18" t="n">
        <v>0.03234953703703704</v>
      </c>
      <c r="AM34" s="14" t="n"/>
    </row>
    <row r="35" ht="17.1" customHeight="1">
      <c r="A35" s="13" t="inlineStr">
        <is>
          <t>TOCI ANTONETA</t>
        </is>
      </c>
      <c r="B35" s="14" t="inlineStr">
        <is>
          <t>TCONNT91H59Z100O</t>
        </is>
      </c>
      <c r="C35" s="13" t="inlineStr">
        <is>
          <t>La programmazione - Tecninf - Fondoconoscenza</t>
        </is>
      </c>
      <c r="D35" s="15" t="n"/>
      <c r="E35" s="15" t="n"/>
      <c r="F35" s="15" t="n"/>
      <c r="G35" s="16" t="n"/>
      <c r="H35" s="16" t="n"/>
      <c r="I35" s="15" t="n"/>
      <c r="J35" s="15" t="n"/>
      <c r="K35" s="15" t="n"/>
      <c r="L35" s="15" t="n"/>
      <c r="M35" s="15" t="n"/>
      <c r="N35" s="16" t="n"/>
      <c r="O35" s="16" t="n"/>
      <c r="P35" s="15" t="n"/>
      <c r="Q35" s="15" t="n"/>
      <c r="R35" s="15" t="n"/>
      <c r="S35" s="15" t="n"/>
      <c r="T35" s="15" t="n"/>
      <c r="U35" s="16" t="n"/>
      <c r="V35" s="16" t="n"/>
      <c r="W35" s="15" t="n"/>
      <c r="X35" s="15" t="n"/>
      <c r="Y35" s="15" t="n"/>
      <c r="Z35" s="15" t="n"/>
      <c r="AA35" s="15" t="n"/>
      <c r="AB35" s="16" t="n"/>
      <c r="AC35" s="16" t="n"/>
      <c r="AD35" s="15" t="n"/>
      <c r="AE35" s="15" t="n"/>
      <c r="AF35" s="15" t="n"/>
      <c r="AG35" s="15" t="n"/>
      <c r="AH35" s="18">
        <f>SUM(D35:AG35)</f>
        <v/>
      </c>
      <c r="AI35" s="14" t="n"/>
      <c r="AJ35" s="18">
        <f>AI35-AH35</f>
        <v/>
      </c>
      <c r="AK35" s="14" t="n"/>
      <c r="AL35" s="14" t="n"/>
      <c r="AM35" s="14" t="n"/>
    </row>
    <row r="36" ht="17.1" customHeight="1">
      <c r="A36" s="13" t="inlineStr">
        <is>
          <t>VISWANATHAN SRIDHAR</t>
        </is>
      </c>
      <c r="B36" s="14" t="inlineStr">
        <is>
          <t>VSWSDH86S22Z222H</t>
        </is>
      </c>
      <c r="C36" s="13" t="inlineStr">
        <is>
          <t>Project Management per il digitale - Tecninf - Fondoconoscenza</t>
        </is>
      </c>
      <c r="D36" s="15" t="n"/>
      <c r="E36" s="15" t="n"/>
      <c r="F36" s="15" t="n"/>
      <c r="G36" s="16" t="n"/>
      <c r="H36" s="16" t="n"/>
      <c r="I36" s="15" t="n"/>
      <c r="J36" s="15" t="n"/>
      <c r="K36" s="15" t="n"/>
      <c r="L36" s="15" t="n"/>
      <c r="M36" s="15" t="n"/>
      <c r="N36" s="16" t="n"/>
      <c r="O36" s="16" t="n"/>
      <c r="P36" s="15" t="n"/>
      <c r="Q36" s="15" t="n"/>
      <c r="R36" s="15" t="n"/>
      <c r="S36" s="15" t="n"/>
      <c r="T36" s="15" t="n"/>
      <c r="U36" s="16" t="n"/>
      <c r="V36" s="16" t="n"/>
      <c r="W36" s="15" t="n"/>
      <c r="X36" s="15" t="n"/>
      <c r="Y36" s="15" t="n"/>
      <c r="Z36" s="15" t="n"/>
      <c r="AA36" s="15" t="n"/>
      <c r="AB36" s="16" t="n"/>
      <c r="AC36" s="16" t="n"/>
      <c r="AD36" s="15" t="n"/>
      <c r="AE36" s="15" t="n"/>
      <c r="AF36" s="15" t="n"/>
      <c r="AG36" s="15" t="n"/>
      <c r="AH36" s="18">
        <f>SUM(D36:AG36)</f>
        <v/>
      </c>
      <c r="AI36" s="14" t="n"/>
      <c r="AJ36" s="18">
        <f>AI36-AH36</f>
        <v/>
      </c>
      <c r="AK36" s="14" t="n"/>
      <c r="AL36" s="14" t="n"/>
      <c r="AM36" s="14" t="n"/>
    </row>
    <row r="37" ht="17.1" customHeight="1">
      <c r="A37" s="20" t="inlineStr">
        <is>
          <t>TOTALE</t>
        </is>
      </c>
      <c r="B37" s="21" t="n"/>
      <c r="C37" s="21" t="n"/>
      <c r="D37" s="22">
        <f>SUM(D4:D36)</f>
        <v/>
      </c>
      <c r="E37" s="22">
        <f>SUM(E4:E36)</f>
        <v/>
      </c>
      <c r="F37" s="22">
        <f>SUM(F4:F36)</f>
        <v/>
      </c>
      <c r="G37" s="22">
        <f>SUM(G4:G36)</f>
        <v/>
      </c>
      <c r="H37" s="22">
        <f>SUM(H4:H36)</f>
        <v/>
      </c>
      <c r="I37" s="22">
        <f>SUM(I4:I36)</f>
        <v/>
      </c>
      <c r="J37" s="22">
        <f>SUM(J4:J36)</f>
        <v/>
      </c>
      <c r="K37" s="22">
        <f>SUM(K4:K36)</f>
        <v/>
      </c>
      <c r="L37" s="22">
        <f>SUM(L4:L36)</f>
        <v/>
      </c>
      <c r="M37" s="22">
        <f>SUM(M4:M36)</f>
        <v/>
      </c>
      <c r="N37" s="22">
        <f>SUM(N4:N36)</f>
        <v/>
      </c>
      <c r="O37" s="22">
        <f>SUM(O4:O36)</f>
        <v/>
      </c>
      <c r="P37" s="22">
        <f>SUM(P4:P36)</f>
        <v/>
      </c>
      <c r="Q37" s="22">
        <f>SUM(Q4:Q36)</f>
        <v/>
      </c>
      <c r="R37" s="22">
        <f>SUM(R4:R36)</f>
        <v/>
      </c>
      <c r="S37" s="22">
        <f>SUM(S4:S36)</f>
        <v/>
      </c>
      <c r="T37" s="22">
        <f>SUM(T4:T36)</f>
        <v/>
      </c>
      <c r="U37" s="22">
        <f>SUM(U4:U36)</f>
        <v/>
      </c>
      <c r="V37" s="22">
        <f>SUM(V4:V36)</f>
        <v/>
      </c>
      <c r="W37" s="22">
        <f>SUM(W4:W36)</f>
        <v/>
      </c>
      <c r="X37" s="22">
        <f>SUM(X4:X36)</f>
        <v/>
      </c>
      <c r="Y37" s="22">
        <f>SUM(Y4:Y36)</f>
        <v/>
      </c>
      <c r="Z37" s="22">
        <f>SUM(Z4:Z36)</f>
        <v/>
      </c>
      <c r="AA37" s="22">
        <f>SUM(AA4:AA36)</f>
        <v/>
      </c>
      <c r="AB37" s="22">
        <f>SUM(AB4:AB36)</f>
        <v/>
      </c>
      <c r="AC37" s="22">
        <f>SUM(AC4:AC36)</f>
        <v/>
      </c>
      <c r="AD37" s="22">
        <f>SUM(AD4:AD36)</f>
        <v/>
      </c>
      <c r="AE37" s="22">
        <f>SUM(AE4:AE36)</f>
        <v/>
      </c>
      <c r="AF37" s="22">
        <f>SUM(AF4:AF36)</f>
        <v/>
      </c>
      <c r="AG37" s="22">
        <f>SUM(AG4:AG36)</f>
        <v/>
      </c>
      <c r="AH37" s="22">
        <f>SUM(AH4:AH36)</f>
        <v/>
      </c>
      <c r="AI37" s="22">
        <f>SUM(AI4:AI36)</f>
        <v/>
      </c>
      <c r="AJ37" s="22">
        <f>SUM(AJ4:AJ36)</f>
        <v/>
      </c>
      <c r="AK37" s="22">
        <f>SUM(AK4:AK36)</f>
        <v/>
      </c>
      <c r="AL37" s="22">
        <f>SUM(AL4:AL36)</f>
        <v/>
      </c>
      <c r="AM37" s="22">
        <f>SUM(AM4:AM36)</f>
        <v/>
      </c>
    </row>
  </sheetData>
  <mergeCells count="1">
    <mergeCell ref="A1:AM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3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7" customWidth="1" min="2" max="2"/>
    <col width="35" customWidth="1" min="3" max="3"/>
    <col width="6.42578125" customWidth="1" min="4" max="4"/>
    <col width="6.42578125" customWidth="1" min="5" max="5"/>
    <col width="6.42578125" customWidth="1" min="6" max="6"/>
    <col width="6.42578125" customWidth="1" min="7" max="7"/>
    <col width="6.42578125" customWidth="1" min="8" max="8"/>
    <col width="6.42578125" customWidth="1" min="9" max="9"/>
    <col width="6.42578125" customWidth="1" min="10" max="10"/>
    <col width="6.42578125" customWidth="1" min="11" max="11"/>
    <col width="6.42578125" customWidth="1" min="12" max="12"/>
    <col width="6.42578125" customWidth="1" min="13" max="13"/>
    <col width="6.42578125" customWidth="1" min="14" max="14"/>
    <col width="6.42578125" customWidth="1" min="15" max="15"/>
    <col width="6.42578125" customWidth="1" min="16" max="16"/>
    <col width="6.42578125" customWidth="1" min="17" max="17"/>
    <col width="6.42578125" customWidth="1" min="18" max="18"/>
    <col width="6.42578125" customWidth="1" min="19" max="19"/>
    <col width="6.42578125" customWidth="1" min="20" max="20"/>
    <col width="6.42578125" customWidth="1" min="21" max="21"/>
    <col width="6.42578125" customWidth="1" min="22" max="22"/>
    <col width="6.42578125" customWidth="1" min="23" max="23"/>
    <col width="6.42578125" customWidth="1" min="24" max="24"/>
    <col width="6.42578125" customWidth="1" min="25" max="25"/>
    <col width="6.42578125" customWidth="1" min="26" max="26"/>
    <col width="6.42578125" customWidth="1" min="27" max="27"/>
    <col width="6.42578125" customWidth="1" min="28" max="28"/>
    <col width="6.42578125" customWidth="1" min="29" max="29"/>
    <col width="6.42578125" customWidth="1" min="30" max="30"/>
    <col width="6.42578125" customWidth="1" min="31" max="31"/>
    <col width="6.42578125" customWidth="1" min="32" max="32"/>
    <col width="6.42578125" customWidth="1" min="33" max="33"/>
    <col width="6.42578125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</cols>
  <sheetData>
    <row r="1" ht="26.1" customHeight="1">
      <c r="A1" s="1" t="inlineStr">
        <is>
          <t>MONITORAGGIO ORE FORMAZIONE - Maggio 2026 - TECNINF SPA</t>
        </is>
      </c>
    </row>
    <row r="2" ht="38.1" customHeight="1"/>
    <row r="3" ht="32.1" customHeight="1">
      <c r="A3" s="2" t="inlineStr">
        <is>
          <t>Utente</t>
        </is>
      </c>
      <c r="B3" s="2" t="inlineStr">
        <is>
          <t>Codice Fiscale</t>
        </is>
      </c>
      <c r="C3" s="2" t="inlineStr">
        <is>
          <t>Percorso Formativo</t>
        </is>
      </c>
      <c r="D3" s="11" t="inlineStr">
        <is>
          <t>1
V</t>
        </is>
      </c>
      <c r="E3" s="12" t="inlineStr">
        <is>
          <t>2
S</t>
        </is>
      </c>
      <c r="F3" s="12" t="inlineStr">
        <is>
          <t>3
D</t>
        </is>
      </c>
      <c r="G3" s="11" t="inlineStr">
        <is>
          <t>4
L</t>
        </is>
      </c>
      <c r="H3" s="11" t="inlineStr">
        <is>
          <t>5
M</t>
        </is>
      </c>
      <c r="I3" s="11" t="inlineStr">
        <is>
          <t>6
M</t>
        </is>
      </c>
      <c r="J3" s="11" t="inlineStr">
        <is>
          <t>7
G</t>
        </is>
      </c>
      <c r="K3" s="11" t="inlineStr">
        <is>
          <t>8
V</t>
        </is>
      </c>
      <c r="L3" s="12" t="inlineStr">
        <is>
          <t>9
S</t>
        </is>
      </c>
      <c r="M3" s="12" t="inlineStr">
        <is>
          <t>10
D</t>
        </is>
      </c>
      <c r="N3" s="11" t="inlineStr">
        <is>
          <t>11
L</t>
        </is>
      </c>
      <c r="O3" s="11" t="inlineStr">
        <is>
          <t>12
M</t>
        </is>
      </c>
      <c r="P3" s="11" t="inlineStr">
        <is>
          <t>13
M</t>
        </is>
      </c>
      <c r="Q3" s="11" t="inlineStr">
        <is>
          <t>14
G</t>
        </is>
      </c>
      <c r="R3" s="11" t="inlineStr">
        <is>
          <t>15
V</t>
        </is>
      </c>
      <c r="S3" s="12" t="inlineStr">
        <is>
          <t>16
S</t>
        </is>
      </c>
      <c r="T3" s="12" t="inlineStr">
        <is>
          <t>17
D</t>
        </is>
      </c>
      <c r="U3" s="11" t="inlineStr">
        <is>
          <t>18
L</t>
        </is>
      </c>
      <c r="V3" s="11" t="inlineStr">
        <is>
          <t>19
M</t>
        </is>
      </c>
      <c r="W3" s="11" t="inlineStr">
        <is>
          <t>20
M</t>
        </is>
      </c>
      <c r="X3" s="11" t="inlineStr">
        <is>
          <t>21
G</t>
        </is>
      </c>
      <c r="Y3" s="11" t="inlineStr">
        <is>
          <t>22
V</t>
        </is>
      </c>
      <c r="Z3" s="12" t="inlineStr">
        <is>
          <t>23
S</t>
        </is>
      </c>
      <c r="AA3" s="12" t="inlineStr">
        <is>
          <t>24
D</t>
        </is>
      </c>
      <c r="AB3" s="11" t="inlineStr">
        <is>
          <t>25
L</t>
        </is>
      </c>
      <c r="AC3" s="11" t="inlineStr">
        <is>
          <t>26
M</t>
        </is>
      </c>
      <c r="AD3" s="11" t="inlineStr">
        <is>
          <t>27
M</t>
        </is>
      </c>
      <c r="AE3" s="11" t="inlineStr">
        <is>
          <t>28
G</t>
        </is>
      </c>
      <c r="AF3" s="11" t="inlineStr">
        <is>
          <t>29
V</t>
        </is>
      </c>
      <c r="AG3" s="12" t="inlineStr">
        <is>
          <t>30
S</t>
        </is>
      </c>
      <c r="AH3" s="12" t="inlineStr">
        <is>
          <t>31
D</t>
        </is>
      </c>
      <c r="AI3" s="2" t="inlineStr">
        <is>
          <t>Totale
Ore Effettive</t>
        </is>
      </c>
      <c r="AJ3" s="2" t="inlineStr">
        <is>
          <t>Ore
Totali</t>
        </is>
      </c>
      <c r="AK3" s="2" t="inlineStr">
        <is>
          <t>Totale
Eccesso</t>
        </is>
      </c>
      <c r="AL3" s="2" t="inlineStr">
        <is>
          <t>Eccesso
Weekend</t>
        </is>
      </c>
      <c r="AM3" s="2" t="inlineStr">
        <is>
          <t>Eccesso
Dopo 18:00</t>
        </is>
      </c>
      <c r="AN3" s="2" t="inlineStr">
        <is>
          <t>Eccesso
Mattutino</t>
        </is>
      </c>
    </row>
    <row r="4" ht="17.1" customHeight="1">
      <c r="A4" s="13" t="inlineStr">
        <is>
          <t>ALBA WILLIAM JULIAN PAZ</t>
        </is>
      </c>
      <c r="B4" s="14" t="inlineStr">
        <is>
          <t>PZLWLM96A16Z504F</t>
        </is>
      </c>
      <c r="C4" s="13" t="inlineStr">
        <is>
          <t>La programmazione - Tecninf - Fondoconoscenza</t>
        </is>
      </c>
      <c r="D4" s="15" t="n"/>
      <c r="E4" s="16" t="n"/>
      <c r="F4" s="16" t="n"/>
      <c r="G4" s="17" t="n">
        <v>0.002094907407407407</v>
      </c>
      <c r="H4" s="15" t="n"/>
      <c r="I4" s="15" t="n"/>
      <c r="J4" s="15" t="n"/>
      <c r="K4" s="17" t="n">
        <v>0.008553240740740741</v>
      </c>
      <c r="L4" s="16" t="n"/>
      <c r="M4" s="16" t="n"/>
      <c r="N4" s="15" t="n"/>
      <c r="O4" s="17" t="n">
        <v>0.02153935185185185</v>
      </c>
      <c r="P4" s="15" t="n"/>
      <c r="Q4" s="15" t="n"/>
      <c r="R4" s="15" t="n"/>
      <c r="S4" s="16" t="n"/>
      <c r="T4" s="16" t="n"/>
      <c r="U4" s="15" t="n"/>
      <c r="V4" s="15" t="n"/>
      <c r="W4" s="15" t="n"/>
      <c r="X4" s="15" t="n"/>
      <c r="Y4" s="15" t="n"/>
      <c r="Z4" s="16" t="n"/>
      <c r="AA4" s="16" t="n"/>
      <c r="AB4" s="15" t="n"/>
      <c r="AC4" s="15" t="n"/>
      <c r="AD4" s="15" t="n"/>
      <c r="AE4" s="15" t="n"/>
      <c r="AF4" s="15" t="n"/>
      <c r="AG4" s="16" t="n"/>
      <c r="AH4" s="16" t="n"/>
      <c r="AI4" s="18">
        <f>SUM(D4:AH4)</f>
        <v/>
      </c>
      <c r="AJ4" s="18" t="n">
        <v>0.0321875</v>
      </c>
      <c r="AK4" s="18">
        <f>AJ4-AI4</f>
        <v/>
      </c>
      <c r="AL4" s="14" t="n"/>
      <c r="AM4" s="14" t="n"/>
      <c r="AN4" s="14" t="n"/>
    </row>
    <row r="5" ht="17.1" customHeight="1">
      <c r="A5" s="13" t="inlineStr">
        <is>
          <t>BADII ALESSANDRO</t>
        </is>
      </c>
      <c r="B5" s="14" t="inlineStr">
        <is>
          <t>BDALSN01R03H501Z</t>
        </is>
      </c>
      <c r="C5" s="13" t="inlineStr">
        <is>
          <t>Big Data - Tecninf - Fondoconoscenza</t>
        </is>
      </c>
      <c r="D5" s="15" t="n"/>
      <c r="E5" s="16" t="n"/>
      <c r="F5" s="16" t="n"/>
      <c r="G5" s="15" t="n"/>
      <c r="H5" s="15" t="n"/>
      <c r="I5" s="15" t="n"/>
      <c r="J5" s="15" t="n"/>
      <c r="K5" s="15" t="n"/>
      <c r="L5" s="16" t="n"/>
      <c r="M5" s="16" t="n"/>
      <c r="N5" s="15" t="n"/>
      <c r="O5" s="15" t="n"/>
      <c r="P5" s="15" t="n"/>
      <c r="Q5" s="15" t="n"/>
      <c r="R5" s="15" t="n"/>
      <c r="S5" s="16" t="n"/>
      <c r="T5" s="16" t="n"/>
      <c r="U5" s="15" t="n"/>
      <c r="V5" s="15" t="n"/>
      <c r="W5" s="15" t="n"/>
      <c r="X5" s="15" t="n"/>
      <c r="Y5" s="15" t="n"/>
      <c r="Z5" s="16" t="n"/>
      <c r="AA5" s="16" t="n"/>
      <c r="AB5" s="15" t="n"/>
      <c r="AC5" s="15" t="n"/>
      <c r="AD5" s="15" t="n"/>
      <c r="AE5" s="15" t="n"/>
      <c r="AF5" s="15" t="n"/>
      <c r="AG5" s="16" t="n"/>
      <c r="AH5" s="16" t="n"/>
      <c r="AI5" s="18">
        <f>SUM(D5:AH5)</f>
        <v/>
      </c>
      <c r="AJ5" s="14" t="n"/>
      <c r="AK5" s="18">
        <f>AJ5-AI5</f>
        <v/>
      </c>
      <c r="AL5" s="14" t="n"/>
      <c r="AM5" s="14" t="n"/>
      <c r="AN5" s="14" t="n"/>
    </row>
    <row r="6" ht="17.1" customHeight="1">
      <c r="A6" s="13" t="inlineStr">
        <is>
          <t>BADINE HICHAM</t>
        </is>
      </c>
      <c r="B6" s="14" t="inlineStr">
        <is>
          <t>BDNHHM97H19H501Q</t>
        </is>
      </c>
      <c r="C6" s="13" t="inlineStr">
        <is>
          <t>La programmazione - Tecninf - Fondoconoscenza</t>
        </is>
      </c>
      <c r="D6" s="15" t="n"/>
      <c r="E6" s="16" t="n"/>
      <c r="F6" s="16" t="n"/>
      <c r="G6" s="15" t="n"/>
      <c r="H6" s="15" t="n"/>
      <c r="I6" s="15" t="n"/>
      <c r="J6" s="15" t="n"/>
      <c r="K6" s="15" t="n"/>
      <c r="L6" s="16" t="n"/>
      <c r="M6" s="16" t="n"/>
      <c r="N6" s="17" t="n">
        <v>0.03041666666666667</v>
      </c>
      <c r="O6" s="17" t="n">
        <v>0.02583333333333333</v>
      </c>
      <c r="P6" s="17" t="n">
        <v>0.1231365740740741</v>
      </c>
      <c r="Q6" s="17" t="n">
        <v>0.02949074074074074</v>
      </c>
      <c r="R6" s="17" t="n">
        <v>0.05260416666666667</v>
      </c>
      <c r="S6" s="16" t="n"/>
      <c r="T6" s="16" t="n"/>
      <c r="U6" s="17" t="n">
        <v>0.03434027777777778</v>
      </c>
      <c r="V6" s="17" t="n">
        <v>0.08917824074074074</v>
      </c>
      <c r="W6" s="17" t="n">
        <v>0.1311805555555556</v>
      </c>
      <c r="X6" s="17" t="n">
        <v>0.1291550925925926</v>
      </c>
      <c r="Y6" s="17" t="n">
        <v>0.1516550925925926</v>
      </c>
      <c r="Z6" s="16" t="n"/>
      <c r="AA6" s="16" t="n"/>
      <c r="AB6" s="17" t="n">
        <v>0.1344097222222222</v>
      </c>
      <c r="AC6" s="17" t="n">
        <v>0.1231481481481481</v>
      </c>
      <c r="AD6" s="17" t="n">
        <v>0.006828703703703704</v>
      </c>
      <c r="AE6" s="17" t="n">
        <v>0.09449074074074074</v>
      </c>
      <c r="AF6" s="17" t="n">
        <v>0.02871527777777778</v>
      </c>
      <c r="AG6" s="16" t="n"/>
      <c r="AH6" s="16" t="n"/>
      <c r="AI6" s="18">
        <f>SUM(D6:AH6)</f>
        <v/>
      </c>
      <c r="AJ6" s="18" t="n">
        <v>1.184583333333333</v>
      </c>
      <c r="AK6" s="18">
        <f>AJ6-AI6</f>
        <v/>
      </c>
      <c r="AL6" s="14" t="n"/>
      <c r="AM6" s="14" t="n"/>
      <c r="AN6" s="14" t="n"/>
    </row>
    <row r="7" ht="17.1" customHeight="1">
      <c r="A7" s="13" t="inlineStr">
        <is>
          <t>BECIANI ANDREA</t>
        </is>
      </c>
      <c r="B7" s="14" t="inlineStr">
        <is>
          <t>BCNNDR82P16D773D</t>
        </is>
      </c>
      <c r="C7" s="13" t="inlineStr">
        <is>
          <t>La programmazione - Tecninf - Fondoconoscenza</t>
        </is>
      </c>
      <c r="D7" s="15" t="n"/>
      <c r="E7" s="16" t="n"/>
      <c r="F7" s="16" t="n"/>
      <c r="G7" s="17" t="n">
        <v>0.01697916666666667</v>
      </c>
      <c r="H7" s="17" t="n">
        <v>0.03456018518518519</v>
      </c>
      <c r="I7" s="23" t="n">
        <v>0.06443287037037038</v>
      </c>
      <c r="J7" s="17" t="n">
        <v>0.002141203703703704</v>
      </c>
      <c r="K7" s="17" t="n">
        <v>0.03540509259259259</v>
      </c>
      <c r="L7" s="16" t="n"/>
      <c r="M7" s="16" t="n"/>
      <c r="N7" s="19" t="n">
        <v>0.03024305555555555</v>
      </c>
      <c r="O7" s="17" t="n">
        <v>0.05065972222222222</v>
      </c>
      <c r="P7" s="15" t="n"/>
      <c r="Q7" s="15" t="n"/>
      <c r="R7" s="17" t="n">
        <v>0.02600694444444444</v>
      </c>
      <c r="S7" s="16" t="n"/>
      <c r="T7" s="16" t="n"/>
      <c r="U7" s="17" t="n">
        <v>0.04765046296296296</v>
      </c>
      <c r="V7" s="23" t="n">
        <v>0.08675925925925926</v>
      </c>
      <c r="W7" s="19" t="n">
        <v>0.188287037037037</v>
      </c>
      <c r="X7" s="19" t="n">
        <v>0.1271643518518518</v>
      </c>
      <c r="Y7" s="15" t="n"/>
      <c r="Z7" s="16" t="n"/>
      <c r="AA7" s="16" t="n"/>
      <c r="AB7" s="17" t="n">
        <v>0.05072916666666667</v>
      </c>
      <c r="AC7" s="15" t="n"/>
      <c r="AD7" s="15" t="n"/>
      <c r="AE7" s="17" t="n">
        <v>0.02418981481481481</v>
      </c>
      <c r="AF7" s="23" t="n">
        <v>0.03898148148148148</v>
      </c>
      <c r="AG7" s="16" t="n"/>
      <c r="AH7" s="16" t="n"/>
      <c r="AI7" s="18">
        <f>SUM(D7:AH7)</f>
        <v/>
      </c>
      <c r="AJ7" s="18" t="n">
        <v>0.903275462962963</v>
      </c>
      <c r="AK7" s="18">
        <f>AJ7-AI7</f>
        <v/>
      </c>
      <c r="AL7" s="14" t="n"/>
      <c r="AM7" s="18" t="n">
        <v>0.04752314814814815</v>
      </c>
      <c r="AN7" s="18" t="n">
        <v>0.0315625</v>
      </c>
    </row>
    <row r="8" ht="17.1" customHeight="1">
      <c r="A8" s="13" t="inlineStr">
        <is>
          <t>BOONTAWEE JUTATIP</t>
        </is>
      </c>
      <c r="B8" s="14" t="inlineStr">
        <is>
          <t>BNTJTP78S54Z241U</t>
        </is>
      </c>
      <c r="C8" s="13" t="inlineStr">
        <is>
          <t>Project Management per il digitale - Tecninf - Fondoconoscenza</t>
        </is>
      </c>
      <c r="D8" s="15" t="n"/>
      <c r="E8" s="16" t="n"/>
      <c r="F8" s="16" t="n"/>
      <c r="G8" s="15" t="n"/>
      <c r="H8" s="15" t="n"/>
      <c r="I8" s="15" t="n"/>
      <c r="J8" s="15" t="n"/>
      <c r="K8" s="15" t="n"/>
      <c r="L8" s="16" t="n"/>
      <c r="M8" s="16" t="n"/>
      <c r="N8" s="15" t="n"/>
      <c r="O8" s="15" t="n"/>
      <c r="P8" s="15" t="n"/>
      <c r="Q8" s="15" t="n"/>
      <c r="R8" s="15" t="n"/>
      <c r="S8" s="16" t="n"/>
      <c r="T8" s="16" t="n"/>
      <c r="U8" s="15" t="n"/>
      <c r="V8" s="15" t="n"/>
      <c r="W8" s="15" t="n"/>
      <c r="X8" s="15" t="n"/>
      <c r="Y8" s="15" t="n"/>
      <c r="Z8" s="16" t="n"/>
      <c r="AA8" s="16" t="n"/>
      <c r="AB8" s="15" t="n"/>
      <c r="AC8" s="15" t="n"/>
      <c r="AD8" s="15" t="n"/>
      <c r="AE8" s="15" t="n"/>
      <c r="AF8" s="15" t="n"/>
      <c r="AG8" s="16" t="n"/>
      <c r="AH8" s="16" t="n"/>
      <c r="AI8" s="18">
        <f>SUM(D8:AH8)</f>
        <v/>
      </c>
      <c r="AJ8" s="14" t="n"/>
      <c r="AK8" s="18">
        <f>AJ8-AI8</f>
        <v/>
      </c>
      <c r="AL8" s="14" t="n"/>
      <c r="AM8" s="14" t="n"/>
      <c r="AN8" s="14" t="n"/>
    </row>
    <row r="9" ht="17.1" customHeight="1">
      <c r="A9" s="13" t="inlineStr">
        <is>
          <t>BUTTINELLI GIORGIA</t>
        </is>
      </c>
      <c r="B9" s="14" t="inlineStr">
        <is>
          <t>BTTGRG97S59G274Q</t>
        </is>
      </c>
      <c r="C9" s="13" t="inlineStr">
        <is>
          <t>Big Data - Tecninf - Fondoconoscenza</t>
        </is>
      </c>
      <c r="D9" s="15" t="n"/>
      <c r="E9" s="16" t="n"/>
      <c r="F9" s="16" t="n"/>
      <c r="G9" s="15" t="n"/>
      <c r="H9" s="15" t="n"/>
      <c r="I9" s="15" t="n"/>
      <c r="J9" s="15" t="n"/>
      <c r="K9" s="15" t="n"/>
      <c r="L9" s="16" t="n"/>
      <c r="M9" s="16" t="n"/>
      <c r="N9" s="15" t="n"/>
      <c r="O9" s="15" t="n"/>
      <c r="P9" s="15" t="n"/>
      <c r="Q9" s="15" t="n"/>
      <c r="R9" s="15" t="n"/>
      <c r="S9" s="16" t="n"/>
      <c r="T9" s="16" t="n"/>
      <c r="U9" s="15" t="n"/>
      <c r="V9" s="15" t="n"/>
      <c r="W9" s="15" t="n"/>
      <c r="X9" s="15" t="n"/>
      <c r="Y9" s="15" t="n"/>
      <c r="Z9" s="16" t="n"/>
      <c r="AA9" s="16" t="n"/>
      <c r="AB9" s="15" t="n"/>
      <c r="AC9" s="15" t="n"/>
      <c r="AD9" s="15" t="n"/>
      <c r="AE9" s="15" t="n"/>
      <c r="AF9" s="15" t="n"/>
      <c r="AG9" s="16" t="n"/>
      <c r="AH9" s="16" t="n"/>
      <c r="AI9" s="18">
        <f>SUM(D9:AH9)</f>
        <v/>
      </c>
      <c r="AJ9" s="14" t="n"/>
      <c r="AK9" s="18">
        <f>AJ9-AI9</f>
        <v/>
      </c>
      <c r="AL9" s="14" t="n"/>
      <c r="AM9" s="14" t="n"/>
      <c r="AN9" s="14" t="n"/>
    </row>
    <row r="10" ht="17.1" customHeight="1">
      <c r="A10" s="13" t="inlineStr">
        <is>
          <t>CARABLUT VICTOR</t>
        </is>
      </c>
      <c r="B10" s="14" t="inlineStr">
        <is>
          <t>CRBVTR94A11Z140B</t>
        </is>
      </c>
      <c r="C10" s="13" t="inlineStr">
        <is>
          <t>Sicurezza Informatica - Tecninf - Fondoconoscenza</t>
        </is>
      </c>
      <c r="D10" s="15" t="n"/>
      <c r="E10" s="16" t="n"/>
      <c r="F10" s="16" t="n"/>
      <c r="G10" s="15" t="n"/>
      <c r="H10" s="15" t="n"/>
      <c r="I10" s="15" t="n"/>
      <c r="J10" s="15" t="n"/>
      <c r="K10" s="15" t="n"/>
      <c r="L10" s="16" t="n"/>
      <c r="M10" s="16" t="n"/>
      <c r="N10" s="15" t="n"/>
      <c r="O10" s="15" t="n"/>
      <c r="P10" s="15" t="n"/>
      <c r="Q10" s="15" t="n"/>
      <c r="R10" s="15" t="n"/>
      <c r="S10" s="16" t="n"/>
      <c r="T10" s="16" t="n"/>
      <c r="U10" s="15" t="n"/>
      <c r="V10" s="15" t="n"/>
      <c r="W10" s="15" t="n"/>
      <c r="X10" s="15" t="n"/>
      <c r="Y10" s="15" t="n"/>
      <c r="Z10" s="16" t="n"/>
      <c r="AA10" s="16" t="n"/>
      <c r="AB10" s="15" t="n"/>
      <c r="AC10" s="15" t="n"/>
      <c r="AD10" s="15" t="n"/>
      <c r="AE10" s="15" t="n"/>
      <c r="AF10" s="15" t="n"/>
      <c r="AG10" s="16" t="n"/>
      <c r="AH10" s="16" t="n"/>
      <c r="AI10" s="18">
        <f>SUM(D10:AH10)</f>
        <v/>
      </c>
      <c r="AJ10" s="14" t="n"/>
      <c r="AK10" s="18">
        <f>AJ10-AI10</f>
        <v/>
      </c>
      <c r="AL10" s="14" t="n"/>
      <c r="AM10" s="14" t="n"/>
      <c r="AN10" s="14" t="n"/>
    </row>
    <row r="11" ht="17.1" customHeight="1">
      <c r="A11" s="13" t="inlineStr">
        <is>
          <t>CECCONI ANTHONY</t>
        </is>
      </c>
      <c r="B11" s="14" t="inlineStr">
        <is>
          <t>CCCNHN91D19H501W</t>
        </is>
      </c>
      <c r="C11" s="13" t="inlineStr">
        <is>
          <t>La programmazione - Tecninf - Fondoconoscenza</t>
        </is>
      </c>
      <c r="D11" s="15" t="n"/>
      <c r="E11" s="16" t="n"/>
      <c r="F11" s="16" t="n"/>
      <c r="G11" s="17" t="n">
        <v>0.1762037037037037</v>
      </c>
      <c r="H11" s="17" t="n">
        <v>0.08998842592592593</v>
      </c>
      <c r="I11" s="15" t="n"/>
      <c r="J11" s="15" t="n"/>
      <c r="K11" s="17" t="n">
        <v>0.1007986111111111</v>
      </c>
      <c r="L11" s="16" t="n"/>
      <c r="M11" s="16" t="n"/>
      <c r="N11" s="17" t="n">
        <v>0.1933564814814815</v>
      </c>
      <c r="O11" s="17" t="n">
        <v>0.1024768518518518</v>
      </c>
      <c r="P11" s="15" t="n"/>
      <c r="Q11" s="17" t="n">
        <v>0.2234027777777778</v>
      </c>
      <c r="R11" s="17" t="n">
        <v>0.07233796296296297</v>
      </c>
      <c r="S11" s="16" t="n"/>
      <c r="T11" s="16" t="n"/>
      <c r="U11" s="17" t="n">
        <v>0.09162037037037037</v>
      </c>
      <c r="V11" s="17" t="n">
        <v>0.07501157407407408</v>
      </c>
      <c r="W11" s="17" t="n">
        <v>0.03900462962962963</v>
      </c>
      <c r="X11" s="17" t="n">
        <v>0.04209490740740741</v>
      </c>
      <c r="Y11" s="15" t="n"/>
      <c r="Z11" s="16" t="n"/>
      <c r="AA11" s="16" t="n"/>
      <c r="AB11" s="17" t="n">
        <v>0.03013888888888889</v>
      </c>
      <c r="AC11" s="17" t="n">
        <v>0.09431712962962963</v>
      </c>
      <c r="AD11" s="17" t="n">
        <v>0.04395833333333334</v>
      </c>
      <c r="AE11" s="17" t="n">
        <v>0.06537037037037037</v>
      </c>
      <c r="AF11" s="17" t="n">
        <v>0.1511689814814815</v>
      </c>
      <c r="AG11" s="16" t="n"/>
      <c r="AH11" s="16" t="n"/>
      <c r="AI11" s="18">
        <f>SUM(D11:AH11)</f>
        <v/>
      </c>
      <c r="AJ11" s="18" t="n">
        <v>1.59125</v>
      </c>
      <c r="AK11" s="18">
        <f>AJ11-AI11</f>
        <v/>
      </c>
      <c r="AL11" s="14" t="n"/>
      <c r="AM11" s="14" t="n"/>
      <c r="AN11" s="14" t="n"/>
    </row>
    <row r="12" ht="17.1" customHeight="1">
      <c r="A12" s="13" t="inlineStr">
        <is>
          <t>CHIARA GOBBI MARIA</t>
        </is>
      </c>
      <c r="B12" s="14" t="inlineStr">
        <is>
          <t>GBBMCH73R57H501G</t>
        </is>
      </c>
      <c r="C12" s="13" t="inlineStr">
        <is>
          <t>L'ufficio digitale - Tecninf - Fondoconoscenza</t>
        </is>
      </c>
      <c r="D12" s="15" t="n"/>
      <c r="E12" s="16" t="n"/>
      <c r="F12" s="16" t="n"/>
      <c r="G12" s="15" t="n"/>
      <c r="H12" s="15" t="n"/>
      <c r="I12" s="15" t="n"/>
      <c r="J12" s="15" t="n"/>
      <c r="K12" s="15" t="n"/>
      <c r="L12" s="16" t="n"/>
      <c r="M12" s="16" t="n"/>
      <c r="N12" s="15" t="n"/>
      <c r="O12" s="15" t="n"/>
      <c r="P12" s="15" t="n"/>
      <c r="Q12" s="15" t="n"/>
      <c r="R12" s="15" t="n"/>
      <c r="S12" s="16" t="n"/>
      <c r="T12" s="16" t="n"/>
      <c r="U12" s="15" t="n"/>
      <c r="V12" s="15" t="n"/>
      <c r="W12" s="15" t="n"/>
      <c r="X12" s="15" t="n"/>
      <c r="Y12" s="15" t="n"/>
      <c r="Z12" s="16" t="n"/>
      <c r="AA12" s="16" t="n"/>
      <c r="AB12" s="15" t="n"/>
      <c r="AC12" s="15" t="n"/>
      <c r="AD12" s="15" t="n"/>
      <c r="AE12" s="15" t="n"/>
      <c r="AF12" s="15" t="n"/>
      <c r="AG12" s="16" t="n"/>
      <c r="AH12" s="16" t="n"/>
      <c r="AI12" s="18">
        <f>SUM(D12:AH12)</f>
        <v/>
      </c>
      <c r="AJ12" s="14" t="n"/>
      <c r="AK12" s="18">
        <f>AJ12-AI12</f>
        <v/>
      </c>
      <c r="AL12" s="14" t="n"/>
      <c r="AM12" s="14" t="n"/>
      <c r="AN12" s="14" t="n"/>
    </row>
    <row r="13" ht="17.1" customHeight="1">
      <c r="A13" s="13" t="inlineStr">
        <is>
          <t>LIMETTI ION</t>
        </is>
      </c>
      <c r="B13" s="14" t="inlineStr">
        <is>
          <t>LMTNIO94M03Z129S</t>
        </is>
      </c>
      <c r="C13" s="13" t="inlineStr">
        <is>
          <t>Big Data - Tecninf - Fondoconoscenza</t>
        </is>
      </c>
      <c r="D13" s="15" t="n"/>
      <c r="E13" s="16" t="n"/>
      <c r="F13" s="16" t="n"/>
      <c r="G13" s="15" t="n"/>
      <c r="H13" s="17" t="n">
        <v>0.1730787037037037</v>
      </c>
      <c r="I13" s="17" t="n">
        <v>0.2848842592592593</v>
      </c>
      <c r="J13" s="17" t="n">
        <v>0.05148148148148148</v>
      </c>
      <c r="K13" s="15" t="n"/>
      <c r="L13" s="16" t="n"/>
      <c r="M13" s="16" t="n"/>
      <c r="N13" s="15" t="n"/>
      <c r="O13" s="15" t="n"/>
      <c r="P13" s="15" t="n"/>
      <c r="Q13" s="15" t="n"/>
      <c r="R13" s="15" t="n"/>
      <c r="S13" s="16" t="n"/>
      <c r="T13" s="16" t="n"/>
      <c r="U13" s="15" t="n"/>
      <c r="V13" s="17" t="n">
        <v>0.2049768518518519</v>
      </c>
      <c r="W13" s="15" t="n"/>
      <c r="X13" s="15" t="n"/>
      <c r="Y13" s="15" t="n"/>
      <c r="Z13" s="16" t="n"/>
      <c r="AA13" s="16" t="n"/>
      <c r="AB13" s="17" t="n">
        <v>0.2374421296296296</v>
      </c>
      <c r="AC13" s="17" t="n">
        <v>0.2134953703703704</v>
      </c>
      <c r="AD13" s="17" t="n">
        <v>0.2179282407407407</v>
      </c>
      <c r="AE13" s="15" t="n"/>
      <c r="AF13" s="15" t="n"/>
      <c r="AG13" s="16" t="n"/>
      <c r="AH13" s="16" t="n"/>
      <c r="AI13" s="18">
        <f>SUM(D13:AH13)</f>
        <v/>
      </c>
      <c r="AJ13" s="18" t="n">
        <v>1.383287037037037</v>
      </c>
      <c r="AK13" s="18">
        <f>AJ13-AI13</f>
        <v/>
      </c>
      <c r="AL13" s="14" t="n"/>
      <c r="AM13" s="14" t="n"/>
      <c r="AN13" s="14" t="n"/>
    </row>
    <row r="14" ht="17.1" customHeight="1">
      <c r="A14" s="13" t="inlineStr">
        <is>
          <t>LUCA' VERONICA</t>
        </is>
      </c>
      <c r="B14" s="14" t="inlineStr">
        <is>
          <t>LCUVNC85L52D976T</t>
        </is>
      </c>
      <c r="C14" s="13" t="inlineStr">
        <is>
          <t>Big Data - Tecninf - Fondoconoscenza</t>
        </is>
      </c>
      <c r="D14" s="15" t="n"/>
      <c r="E14" s="16" t="n"/>
      <c r="F14" s="16" t="n"/>
      <c r="G14" s="17" t="n">
        <v>0.006400462962962963</v>
      </c>
      <c r="H14" s="19" t="n">
        <v>0.01634259259259259</v>
      </c>
      <c r="I14" s="17" t="n">
        <v>0.180775462962963</v>
      </c>
      <c r="J14" s="19" t="n">
        <v>0.09986111111111111</v>
      </c>
      <c r="K14" s="15" t="n"/>
      <c r="L14" s="16" t="n"/>
      <c r="M14" s="16" t="n"/>
      <c r="N14" s="19" t="n">
        <v>0.04148148148148148</v>
      </c>
      <c r="O14" s="15" t="n"/>
      <c r="P14" s="17" t="n">
        <v>0.1010532407407407</v>
      </c>
      <c r="Q14" s="17" t="n">
        <v>0.00369212962962963</v>
      </c>
      <c r="R14" s="15" t="n"/>
      <c r="S14" s="16" t="n"/>
      <c r="T14" s="16" t="n"/>
      <c r="U14" s="15" t="n"/>
      <c r="V14" s="15" t="n"/>
      <c r="W14" s="15" t="n"/>
      <c r="X14" s="15" t="n"/>
      <c r="Y14" s="15" t="n"/>
      <c r="Z14" s="16" t="n"/>
      <c r="AA14" s="16" t="n"/>
      <c r="AB14" s="15" t="n"/>
      <c r="AC14" s="15" t="n"/>
      <c r="AD14" s="15" t="n"/>
      <c r="AE14" s="17" t="n">
        <v>0.00212962962962963</v>
      </c>
      <c r="AF14" s="15" t="n"/>
      <c r="AG14" s="16" t="n"/>
      <c r="AH14" s="16" t="n"/>
      <c r="AI14" s="18">
        <f>SUM(D14:AH14)</f>
        <v/>
      </c>
      <c r="AJ14" s="18" t="n">
        <v>0.4898263888888889</v>
      </c>
      <c r="AK14" s="18">
        <f>AJ14-AI14</f>
        <v/>
      </c>
      <c r="AL14" s="14" t="n"/>
      <c r="AM14" s="18" t="n">
        <v>0.03809027777777778</v>
      </c>
      <c r="AN14" s="14" t="n"/>
    </row>
    <row r="15" ht="17.1" customHeight="1">
      <c r="A15" s="13" t="inlineStr">
        <is>
          <t>MAGNANINI LORENZO</t>
        </is>
      </c>
      <c r="B15" s="14" t="inlineStr">
        <is>
          <t>MGNLNZ97M04H501T</t>
        </is>
      </c>
      <c r="C15" s="13" t="inlineStr">
        <is>
          <t>La programmazione - Tecninf - Fondoconoscenza</t>
        </is>
      </c>
      <c r="D15" s="15" t="n"/>
      <c r="E15" s="16" t="n"/>
      <c r="F15" s="16" t="n"/>
      <c r="G15" s="15" t="n"/>
      <c r="H15" s="15" t="n"/>
      <c r="I15" s="17" t="n">
        <v>0.191087962962963</v>
      </c>
      <c r="J15" s="17" t="n">
        <v>0.1274884259259259</v>
      </c>
      <c r="K15" s="15" t="n"/>
      <c r="L15" s="16" t="n"/>
      <c r="M15" s="16" t="n"/>
      <c r="N15" s="15" t="n"/>
      <c r="O15" s="15" t="n"/>
      <c r="P15" s="15" t="n"/>
      <c r="Q15" s="15" t="n"/>
      <c r="R15" s="15" t="n"/>
      <c r="S15" s="16" t="n"/>
      <c r="T15" s="16" t="n"/>
      <c r="U15" s="15" t="n"/>
      <c r="V15" s="15" t="n"/>
      <c r="W15" s="15" t="n"/>
      <c r="X15" s="15" t="n"/>
      <c r="Y15" s="15" t="n"/>
      <c r="Z15" s="16" t="n"/>
      <c r="AA15" s="16" t="n"/>
      <c r="AB15" s="15" t="n"/>
      <c r="AC15" s="15" t="n"/>
      <c r="AD15" s="15" t="n"/>
      <c r="AE15" s="15" t="n"/>
      <c r="AF15" s="15" t="n"/>
      <c r="AG15" s="16" t="n"/>
      <c r="AH15" s="16" t="n"/>
      <c r="AI15" s="18">
        <f>SUM(D15:AH15)</f>
        <v/>
      </c>
      <c r="AJ15" s="18" t="n">
        <v>0.3185763888888889</v>
      </c>
      <c r="AK15" s="18">
        <f>AJ15-AI15</f>
        <v/>
      </c>
      <c r="AL15" s="14" t="n"/>
      <c r="AM15" s="14" t="n"/>
      <c r="AN15" s="14" t="n"/>
    </row>
    <row r="16" ht="17.1" customHeight="1">
      <c r="A16" s="13" t="inlineStr">
        <is>
          <t>MARIANI ALESSIA</t>
        </is>
      </c>
      <c r="B16" s="14" t="inlineStr">
        <is>
          <t>MRNLSS75L68H501L</t>
        </is>
      </c>
      <c r="C16" s="13" t="inlineStr">
        <is>
          <t>Big Data - Tecninf - Fondoconoscenza</t>
        </is>
      </c>
      <c r="D16" s="15" t="n"/>
      <c r="E16" s="16" t="n"/>
      <c r="F16" s="16" t="n"/>
      <c r="G16" s="15" t="n"/>
      <c r="H16" s="15" t="n"/>
      <c r="I16" s="17" t="n">
        <v>0.3182060185185185</v>
      </c>
      <c r="J16" s="17" t="n">
        <v>0.1592361111111111</v>
      </c>
      <c r="K16" s="17" t="n">
        <v>0.06462962962962963</v>
      </c>
      <c r="L16" s="16" t="n"/>
      <c r="M16" s="16" t="n"/>
      <c r="N16" s="17" t="n">
        <v>0.2092592592592593</v>
      </c>
      <c r="O16" s="15" t="n"/>
      <c r="P16" s="17" t="n">
        <v>0.1042476851851852</v>
      </c>
      <c r="Q16" s="17" t="n">
        <v>0.09538194444444445</v>
      </c>
      <c r="R16" s="15" t="n"/>
      <c r="S16" s="16" t="n"/>
      <c r="T16" s="16" t="n"/>
      <c r="U16" s="17" t="n">
        <v>0.2568981481481482</v>
      </c>
      <c r="V16" s="17" t="n">
        <v>0.05100694444444445</v>
      </c>
      <c r="W16" s="17" t="n">
        <v>0.1359722222222222</v>
      </c>
      <c r="X16" s="17" t="n">
        <v>0.1284953703703704</v>
      </c>
      <c r="Y16" s="17" t="n">
        <v>0.0484837962962963</v>
      </c>
      <c r="Z16" s="16" t="n"/>
      <c r="AA16" s="16" t="n"/>
      <c r="AB16" s="17" t="n">
        <v>0.2342592592592593</v>
      </c>
      <c r="AC16" s="17" t="n">
        <v>0.01069444444444444</v>
      </c>
      <c r="AD16" s="17" t="n">
        <v>0.2146875</v>
      </c>
      <c r="AE16" s="15" t="n"/>
      <c r="AF16" s="17" t="n">
        <v>0.06244212962962963</v>
      </c>
      <c r="AG16" s="16" t="n"/>
      <c r="AH16" s="16" t="n"/>
      <c r="AI16" s="18">
        <f>SUM(D16:AH16)</f>
        <v/>
      </c>
      <c r="AJ16" s="18" t="n">
        <v>2.093900462962963</v>
      </c>
      <c r="AK16" s="18">
        <f>AJ16-AI16</f>
        <v/>
      </c>
      <c r="AL16" s="14" t="n"/>
      <c r="AM16" s="14" t="n"/>
      <c r="AN16" s="14" t="n"/>
    </row>
    <row r="17" ht="17.1" customHeight="1">
      <c r="A17" s="13" t="inlineStr">
        <is>
          <t>MASCELLINO GIULIO</t>
        </is>
      </c>
      <c r="B17" s="14" t="inlineStr">
        <is>
          <t>MSCGLI83C04G511L</t>
        </is>
      </c>
      <c r="C17" s="13" t="inlineStr">
        <is>
          <t>Big Data - Tecninf - Fondoconoscenza</t>
        </is>
      </c>
      <c r="D17" s="15" t="n"/>
      <c r="E17" s="16" t="n"/>
      <c r="F17" s="16" t="n"/>
      <c r="G17" s="15" t="n"/>
      <c r="H17" s="15" t="n"/>
      <c r="I17" s="15" t="n"/>
      <c r="J17" s="15" t="n"/>
      <c r="K17" s="15" t="n"/>
      <c r="L17" s="16" t="n"/>
      <c r="M17" s="16" t="n"/>
      <c r="N17" s="15" t="n"/>
      <c r="O17" s="15" t="n"/>
      <c r="P17" s="15" t="n"/>
      <c r="Q17" s="15" t="n"/>
      <c r="R17" s="15" t="n"/>
      <c r="S17" s="16" t="n"/>
      <c r="T17" s="16" t="n"/>
      <c r="U17" s="15" t="n"/>
      <c r="V17" s="15" t="n"/>
      <c r="W17" s="15" t="n"/>
      <c r="X17" s="15" t="n"/>
      <c r="Y17" s="15" t="n"/>
      <c r="Z17" s="16" t="n"/>
      <c r="AA17" s="16" t="n"/>
      <c r="AB17" s="15" t="n"/>
      <c r="AC17" s="15" t="n"/>
      <c r="AD17" s="15" t="n"/>
      <c r="AE17" s="15" t="n"/>
      <c r="AF17" s="15" t="n"/>
      <c r="AG17" s="16" t="n"/>
      <c r="AH17" s="16" t="n"/>
      <c r="AI17" s="18">
        <f>SUM(D17:AH17)</f>
        <v/>
      </c>
      <c r="AJ17" s="14" t="n"/>
      <c r="AK17" s="18">
        <f>AJ17-AI17</f>
        <v/>
      </c>
      <c r="AL17" s="14" t="n"/>
      <c r="AM17" s="14" t="n"/>
      <c r="AN17" s="14" t="n"/>
    </row>
    <row r="18" ht="17.1" customHeight="1">
      <c r="A18" s="13" t="inlineStr">
        <is>
          <t>PACPACO MICHAEL DEPOLLY</t>
        </is>
      </c>
      <c r="B18" s="14" t="inlineStr">
        <is>
          <t>PCPMHL00R03H501G</t>
        </is>
      </c>
      <c r="C18" s="13" t="inlineStr">
        <is>
          <t>La programmazione - Tecninf - Fondoconoscenza</t>
        </is>
      </c>
      <c r="D18" s="15" t="n"/>
      <c r="E18" s="16" t="n"/>
      <c r="F18" s="16" t="n"/>
      <c r="G18" s="15" t="n"/>
      <c r="H18" s="17" t="n">
        <v>0.1198726851851852</v>
      </c>
      <c r="I18" s="17" t="n">
        <v>0.1330902777777778</v>
      </c>
      <c r="J18" s="17" t="n">
        <v>0.07168981481481482</v>
      </c>
      <c r="K18" s="17" t="n">
        <v>0.04991898148148148</v>
      </c>
      <c r="L18" s="16" t="n"/>
      <c r="M18" s="16" t="n"/>
      <c r="N18" s="15" t="n"/>
      <c r="O18" s="15" t="n"/>
      <c r="P18" s="15" t="n"/>
      <c r="Q18" s="15" t="n"/>
      <c r="R18" s="15" t="n"/>
      <c r="S18" s="16" t="n"/>
      <c r="T18" s="16" t="n"/>
      <c r="U18" s="15" t="n"/>
      <c r="V18" s="15" t="n"/>
      <c r="W18" s="15" t="n"/>
      <c r="X18" s="15" t="n"/>
      <c r="Y18" s="15" t="n"/>
      <c r="Z18" s="16" t="n"/>
      <c r="AA18" s="16" t="n"/>
      <c r="AB18" s="15" t="n"/>
      <c r="AC18" s="15" t="n"/>
      <c r="AD18" s="15" t="n"/>
      <c r="AE18" s="15" t="n"/>
      <c r="AF18" s="15" t="n"/>
      <c r="AG18" s="16" t="n"/>
      <c r="AH18" s="16" t="n"/>
      <c r="AI18" s="18">
        <f>SUM(D18:AH18)</f>
        <v/>
      </c>
      <c r="AJ18" s="18" t="n">
        <v>0.3745717592592593</v>
      </c>
      <c r="AK18" s="18">
        <f>AJ18-AI18</f>
        <v/>
      </c>
      <c r="AL18" s="14" t="n"/>
      <c r="AM18" s="14" t="n"/>
      <c r="AN18" s="14" t="n"/>
    </row>
    <row r="19" ht="17.1" customHeight="1">
      <c r="A19" s="13" t="inlineStr">
        <is>
          <t>PASSIO ROBERTA</t>
        </is>
      </c>
      <c r="B19" s="14" t="inlineStr">
        <is>
          <t>PSSRRT76L56H501O</t>
        </is>
      </c>
      <c r="C19" s="13" t="inlineStr">
        <is>
          <t>Sicurezza Informatica - Tecninf - Fondoconoscenza</t>
        </is>
      </c>
      <c r="D19" s="15" t="n"/>
      <c r="E19" s="16" t="n"/>
      <c r="F19" s="16" t="n"/>
      <c r="G19" s="15" t="n"/>
      <c r="H19" s="15" t="n"/>
      <c r="I19" s="15" t="n"/>
      <c r="J19" s="15" t="n"/>
      <c r="K19" s="15" t="n"/>
      <c r="L19" s="16" t="n"/>
      <c r="M19" s="16" t="n"/>
      <c r="N19" s="15" t="n"/>
      <c r="O19" s="15" t="n"/>
      <c r="P19" s="15" t="n"/>
      <c r="Q19" s="15" t="n"/>
      <c r="R19" s="15" t="n"/>
      <c r="S19" s="16" t="n"/>
      <c r="T19" s="16" t="n"/>
      <c r="U19" s="15" t="n"/>
      <c r="V19" s="15" t="n"/>
      <c r="W19" s="15" t="n"/>
      <c r="X19" s="15" t="n"/>
      <c r="Y19" s="15" t="n"/>
      <c r="Z19" s="16" t="n"/>
      <c r="AA19" s="16" t="n"/>
      <c r="AB19" s="15" t="n"/>
      <c r="AC19" s="15" t="n"/>
      <c r="AD19" s="15" t="n"/>
      <c r="AE19" s="15" t="n"/>
      <c r="AF19" s="15" t="n"/>
      <c r="AG19" s="16" t="n"/>
      <c r="AH19" s="16" t="n"/>
      <c r="AI19" s="18">
        <f>SUM(D19:AH19)</f>
        <v/>
      </c>
      <c r="AJ19" s="14" t="n"/>
      <c r="AK19" s="18">
        <f>AJ19-AI19</f>
        <v/>
      </c>
      <c r="AL19" s="14" t="n"/>
      <c r="AM19" s="14" t="n"/>
      <c r="AN19" s="14" t="n"/>
    </row>
    <row r="20" ht="17.1" customHeight="1">
      <c r="A20" s="13" t="inlineStr">
        <is>
          <t>PERILLA GIAN LEO GAMES</t>
        </is>
      </c>
      <c r="B20" s="14" t="inlineStr">
        <is>
          <t>PRLGLG98M18H501X</t>
        </is>
      </c>
      <c r="C20" s="13" t="inlineStr">
        <is>
          <t>Big Data - Tecninf - Fondoconoscenza</t>
        </is>
      </c>
      <c r="D20" s="15" t="n"/>
      <c r="E20" s="16" t="n"/>
      <c r="F20" s="16" t="n"/>
      <c r="G20" s="15" t="n"/>
      <c r="H20" s="15" t="n"/>
      <c r="I20" s="15" t="n"/>
      <c r="J20" s="15" t="n"/>
      <c r="K20" s="15" t="n"/>
      <c r="L20" s="16" t="n"/>
      <c r="M20" s="16" t="n"/>
      <c r="N20" s="15" t="n"/>
      <c r="O20" s="15" t="n"/>
      <c r="P20" s="15" t="n"/>
      <c r="Q20" s="15" t="n"/>
      <c r="R20" s="15" t="n"/>
      <c r="S20" s="16" t="n"/>
      <c r="T20" s="16" t="n"/>
      <c r="U20" s="17" t="n">
        <v>0.01959490740740741</v>
      </c>
      <c r="V20" s="17" t="n">
        <v>0.0199537037037037</v>
      </c>
      <c r="W20" s="15" t="n"/>
      <c r="X20" s="15" t="n"/>
      <c r="Y20" s="17" t="n">
        <v>0.03657407407407407</v>
      </c>
      <c r="Z20" s="16" t="n"/>
      <c r="AA20" s="16" t="n"/>
      <c r="AB20" s="19" t="n">
        <v>0.02888888888888889</v>
      </c>
      <c r="AC20" s="17" t="n">
        <v>0.04208333333333333</v>
      </c>
      <c r="AD20" s="15" t="n"/>
      <c r="AE20" s="17" t="n">
        <v>0.0102662037037037</v>
      </c>
      <c r="AF20" s="17" t="n">
        <v>0.03013888888888889</v>
      </c>
      <c r="AG20" s="16" t="n"/>
      <c r="AH20" s="16" t="n"/>
      <c r="AI20" s="18">
        <f>SUM(D20:AH20)</f>
        <v/>
      </c>
      <c r="AJ20" s="18" t="n">
        <v>0.2076736111111111</v>
      </c>
      <c r="AK20" s="18">
        <f>AJ20-AI20</f>
        <v/>
      </c>
      <c r="AL20" s="14" t="n"/>
      <c r="AM20" s="18" t="n">
        <v>0.02017361111111111</v>
      </c>
      <c r="AN20" s="14" t="n"/>
    </row>
    <row r="21" ht="17.1" customHeight="1">
      <c r="A21" s="13" t="inlineStr">
        <is>
          <t>PINNA ROBERTO CAO</t>
        </is>
      </c>
      <c r="B21" s="14" t="inlineStr">
        <is>
          <t>CPNRRT66D27H501V</t>
        </is>
      </c>
      <c r="C21" s="13" t="inlineStr">
        <is>
          <t>Project Management per il digitale - Tecninf - Fondoconoscenza</t>
        </is>
      </c>
      <c r="D21" s="15" t="n"/>
      <c r="E21" s="16" t="n"/>
      <c r="F21" s="16" t="n"/>
      <c r="G21" s="15" t="n"/>
      <c r="H21" s="15" t="n"/>
      <c r="I21" s="15" t="n"/>
      <c r="J21" s="15" t="n"/>
      <c r="K21" s="15" t="n"/>
      <c r="L21" s="16" t="n"/>
      <c r="M21" s="16" t="n"/>
      <c r="N21" s="15" t="n"/>
      <c r="O21" s="15" t="n"/>
      <c r="P21" s="15" t="n"/>
      <c r="Q21" s="15" t="n"/>
      <c r="R21" s="15" t="n"/>
      <c r="S21" s="16" t="n"/>
      <c r="T21" s="16" t="n"/>
      <c r="U21" s="15" t="n"/>
      <c r="V21" s="15" t="n"/>
      <c r="W21" s="15" t="n"/>
      <c r="X21" s="15" t="n"/>
      <c r="Y21" s="15" t="n"/>
      <c r="Z21" s="16" t="n"/>
      <c r="AA21" s="16" t="n"/>
      <c r="AB21" s="15" t="n"/>
      <c r="AC21" s="15" t="n"/>
      <c r="AD21" s="15" t="n"/>
      <c r="AE21" s="15" t="n"/>
      <c r="AF21" s="15" t="n"/>
      <c r="AG21" s="16" t="n"/>
      <c r="AH21" s="16" t="n"/>
      <c r="AI21" s="18">
        <f>SUM(D21:AH21)</f>
        <v/>
      </c>
      <c r="AJ21" s="14" t="n"/>
      <c r="AK21" s="18">
        <f>AJ21-AI21</f>
        <v/>
      </c>
      <c r="AL21" s="14" t="n"/>
      <c r="AM21" s="14" t="n"/>
      <c r="AN21" s="14" t="n"/>
    </row>
    <row r="22" ht="17.1" customHeight="1">
      <c r="A22" s="13" t="inlineStr">
        <is>
          <t>POGGI ROBERTO</t>
        </is>
      </c>
      <c r="B22" s="14" t="inlineStr">
        <is>
          <t>PGGRRT91H07F839Q</t>
        </is>
      </c>
      <c r="C22" s="13" t="inlineStr">
        <is>
          <t>Big Data - Tecninf - Fondoconoscenza</t>
        </is>
      </c>
      <c r="D22" s="15" t="n"/>
      <c r="E22" s="16" t="n"/>
      <c r="F22" s="16" t="n"/>
      <c r="G22" s="15" t="n"/>
      <c r="H22" s="15" t="n"/>
      <c r="I22" s="15" t="n"/>
      <c r="J22" s="15" t="n"/>
      <c r="K22" s="15" t="n"/>
      <c r="L22" s="16" t="n"/>
      <c r="M22" s="16" t="n"/>
      <c r="N22" s="15" t="n"/>
      <c r="O22" s="15" t="n"/>
      <c r="P22" s="15" t="n"/>
      <c r="Q22" s="15" t="n"/>
      <c r="R22" s="15" t="n"/>
      <c r="S22" s="16" t="n"/>
      <c r="T22" s="16" t="n"/>
      <c r="U22" s="15" t="n"/>
      <c r="V22" s="15" t="n"/>
      <c r="W22" s="15" t="n"/>
      <c r="X22" s="15" t="n"/>
      <c r="Y22" s="15" t="n"/>
      <c r="Z22" s="16" t="n"/>
      <c r="AA22" s="16" t="n"/>
      <c r="AB22" s="15" t="n"/>
      <c r="AC22" s="15" t="n"/>
      <c r="AD22" s="15" t="n"/>
      <c r="AE22" s="15" t="n"/>
      <c r="AF22" s="15" t="n"/>
      <c r="AG22" s="16" t="n"/>
      <c r="AH22" s="16" t="n"/>
      <c r="AI22" s="18">
        <f>SUM(D22:AH22)</f>
        <v/>
      </c>
      <c r="AJ22" s="14" t="n"/>
      <c r="AK22" s="18">
        <f>AJ22-AI22</f>
        <v/>
      </c>
      <c r="AL22" s="14" t="n"/>
      <c r="AM22" s="14" t="n"/>
      <c r="AN22" s="14" t="n"/>
    </row>
    <row r="23" ht="17.1" customHeight="1">
      <c r="A23" s="13" t="inlineStr">
        <is>
          <t>PRASAD RAKESH KUMAR</t>
        </is>
      </c>
      <c r="B23" s="14" t="inlineStr">
        <is>
          <t>PRSRSH87S19H501S</t>
        </is>
      </c>
      <c r="C23" s="13" t="inlineStr">
        <is>
          <t>Sicurezza Informatica - Tecninf - Fondoconoscenza</t>
        </is>
      </c>
      <c r="D23" s="15" t="n"/>
      <c r="E23" s="16" t="n"/>
      <c r="F23" s="16" t="n"/>
      <c r="G23" s="15" t="n"/>
      <c r="H23" s="15" t="n"/>
      <c r="I23" s="15" t="n"/>
      <c r="J23" s="15" t="n"/>
      <c r="K23" s="15" t="n"/>
      <c r="L23" s="16" t="n"/>
      <c r="M23" s="16" t="n"/>
      <c r="N23" s="15" t="n"/>
      <c r="O23" s="15" t="n"/>
      <c r="P23" s="15" t="n"/>
      <c r="Q23" s="15" t="n"/>
      <c r="R23" s="15" t="n"/>
      <c r="S23" s="16" t="n"/>
      <c r="T23" s="16" t="n"/>
      <c r="U23" s="15" t="n"/>
      <c r="V23" s="15" t="n"/>
      <c r="W23" s="15" t="n"/>
      <c r="X23" s="15" t="n"/>
      <c r="Y23" s="15" t="n"/>
      <c r="Z23" s="16" t="n"/>
      <c r="AA23" s="16" t="n"/>
      <c r="AB23" s="15" t="n"/>
      <c r="AC23" s="15" t="n"/>
      <c r="AD23" s="15" t="n"/>
      <c r="AE23" s="15" t="n"/>
      <c r="AF23" s="15" t="n"/>
      <c r="AG23" s="16" t="n"/>
      <c r="AH23" s="16" t="n"/>
      <c r="AI23" s="18">
        <f>SUM(D23:AH23)</f>
        <v/>
      </c>
      <c r="AJ23" s="14" t="n"/>
      <c r="AK23" s="18">
        <f>AJ23-AI23</f>
        <v/>
      </c>
      <c r="AL23" s="14" t="n"/>
      <c r="AM23" s="14" t="n"/>
      <c r="AN23" s="14" t="n"/>
    </row>
    <row r="24" ht="17.1" customHeight="1">
      <c r="A24" s="13" t="inlineStr">
        <is>
          <t>PUDDU RAIMONDO</t>
        </is>
      </c>
      <c r="B24" s="14" t="inlineStr">
        <is>
          <t>PDDRND75R08H501S</t>
        </is>
      </c>
      <c r="C24" s="13" t="inlineStr">
        <is>
          <t>Big Data - Tecninf - Fondoconoscenza</t>
        </is>
      </c>
      <c r="D24" s="15" t="n"/>
      <c r="E24" s="16" t="n"/>
      <c r="F24" s="16" t="n"/>
      <c r="G24" s="15" t="n"/>
      <c r="H24" s="15" t="n"/>
      <c r="I24" s="15" t="n"/>
      <c r="J24" s="19" t="n">
        <v>0.008472222222222223</v>
      </c>
      <c r="K24" s="15" t="n"/>
      <c r="L24" s="16" t="n"/>
      <c r="M24" s="16" t="n"/>
      <c r="N24" s="15" t="n"/>
      <c r="O24" s="15" t="n"/>
      <c r="P24" s="15" t="n"/>
      <c r="Q24" s="15" t="n"/>
      <c r="R24" s="15" t="n"/>
      <c r="S24" s="16" t="n"/>
      <c r="T24" s="16" t="n"/>
      <c r="U24" s="15" t="n"/>
      <c r="V24" s="15" t="n"/>
      <c r="W24" s="15" t="n"/>
      <c r="X24" s="15" t="n"/>
      <c r="Y24" s="15" t="n"/>
      <c r="Z24" s="16" t="n"/>
      <c r="AA24" s="16" t="n"/>
      <c r="AB24" s="15" t="n"/>
      <c r="AC24" s="15" t="n"/>
      <c r="AD24" s="15" t="n"/>
      <c r="AE24" s="15" t="n"/>
      <c r="AF24" s="17" t="n">
        <v>0.01512731481481482</v>
      </c>
      <c r="AG24" s="16" t="n"/>
      <c r="AH24" s="16" t="n"/>
      <c r="AI24" s="18">
        <f>SUM(D24:AH24)</f>
        <v/>
      </c>
      <c r="AJ24" s="18" t="n">
        <v>0.02516203703703704</v>
      </c>
      <c r="AK24" s="18">
        <f>AJ24-AI24</f>
        <v/>
      </c>
      <c r="AL24" s="14" t="n"/>
      <c r="AM24" s="18" t="n">
        <v>0.0015625</v>
      </c>
      <c r="AN24" s="14" t="n"/>
    </row>
    <row r="25" ht="17.1" customHeight="1">
      <c r="A25" s="13" t="inlineStr">
        <is>
          <t>RANIERI FRANCESCO</t>
        </is>
      </c>
      <c r="B25" s="14" t="inlineStr">
        <is>
          <t>RNRFNC99L28H501B</t>
        </is>
      </c>
      <c r="C25" s="13" t="inlineStr">
        <is>
          <t>La programmazione - Tecninf - Fondoconoscenza</t>
        </is>
      </c>
      <c r="D25" s="15" t="n"/>
      <c r="E25" s="16" t="n"/>
      <c r="F25" s="16" t="n"/>
      <c r="G25" s="17" t="n">
        <v>0.08065972222222222</v>
      </c>
      <c r="H25" s="17" t="n">
        <v>0.1562037037037037</v>
      </c>
      <c r="I25" s="15" t="n"/>
      <c r="J25" s="15" t="n"/>
      <c r="K25" s="17" t="n">
        <v>0.08849537037037038</v>
      </c>
      <c r="L25" s="16" t="n"/>
      <c r="M25" s="16" t="n"/>
      <c r="N25" s="17" t="n">
        <v>0.06813657407407407</v>
      </c>
      <c r="O25" s="17" t="n">
        <v>0.07276620370370371</v>
      </c>
      <c r="P25" s="17" t="n">
        <v>0.1825925925925926</v>
      </c>
      <c r="Q25" s="15" t="n"/>
      <c r="R25" s="15" t="n"/>
      <c r="S25" s="16" t="n"/>
      <c r="T25" s="16" t="n"/>
      <c r="U25" s="17" t="n">
        <v>0.02607638888888889</v>
      </c>
      <c r="V25" s="17" t="n">
        <v>0.1327893518518518</v>
      </c>
      <c r="W25" s="17" t="n">
        <v>0.02702546296296296</v>
      </c>
      <c r="X25" s="15" t="n"/>
      <c r="Y25" s="15" t="n"/>
      <c r="Z25" s="16" t="n"/>
      <c r="AA25" s="16" t="n"/>
      <c r="AB25" s="15" t="n"/>
      <c r="AC25" s="17" t="n">
        <v>0.07994212962962963</v>
      </c>
      <c r="AD25" s="17" t="n">
        <v>0.06039351851851852</v>
      </c>
      <c r="AE25" s="17" t="n">
        <v>0.01935185185185185</v>
      </c>
      <c r="AF25" s="17" t="n">
        <v>0.09048611111111111</v>
      </c>
      <c r="AG25" s="16" t="n"/>
      <c r="AH25" s="16" t="n"/>
      <c r="AI25" s="18">
        <f>SUM(D25:AH25)</f>
        <v/>
      </c>
      <c r="AJ25" s="18" t="n">
        <v>1.084918981481481</v>
      </c>
      <c r="AK25" s="18">
        <f>AJ25-AI25</f>
        <v/>
      </c>
      <c r="AL25" s="14" t="n"/>
      <c r="AM25" s="14" t="n"/>
      <c r="AN25" s="14" t="n"/>
    </row>
    <row r="26" ht="17.1" customHeight="1">
      <c r="A26" s="13" t="inlineStr">
        <is>
          <t>ROSA JEREMY DELA</t>
        </is>
      </c>
      <c r="B26" s="14" t="inlineStr">
        <is>
          <t>DLRJMY02A20H501A</t>
        </is>
      </c>
      <c r="C26" s="13" t="inlineStr">
        <is>
          <t>Big Data - Tecninf - Fondoconoscenza</t>
        </is>
      </c>
      <c r="D26" s="15" t="n"/>
      <c r="E26" s="16" t="n"/>
      <c r="F26" s="16" t="n"/>
      <c r="G26" s="15" t="n"/>
      <c r="H26" s="15" t="n"/>
      <c r="I26" s="15" t="n"/>
      <c r="J26" s="17" t="n">
        <v>0.03177083333333333</v>
      </c>
      <c r="K26" s="15" t="n"/>
      <c r="L26" s="16" t="n"/>
      <c r="M26" s="16" t="n"/>
      <c r="N26" s="15" t="n"/>
      <c r="O26" s="15" t="n"/>
      <c r="P26" s="15" t="n"/>
      <c r="Q26" s="15" t="n"/>
      <c r="R26" s="15" t="n"/>
      <c r="S26" s="16" t="n"/>
      <c r="T26" s="16" t="n"/>
      <c r="U26" s="15" t="n"/>
      <c r="V26" s="15" t="n"/>
      <c r="W26" s="15" t="n"/>
      <c r="X26" s="15" t="n"/>
      <c r="Y26" s="15" t="n"/>
      <c r="Z26" s="16" t="n"/>
      <c r="AA26" s="16" t="n"/>
      <c r="AB26" s="15" t="n"/>
      <c r="AC26" s="17" t="n">
        <v>0.001354166666666667</v>
      </c>
      <c r="AD26" s="15" t="n"/>
      <c r="AE26" s="15" t="n"/>
      <c r="AF26" s="15" t="n"/>
      <c r="AG26" s="16" t="n"/>
      <c r="AH26" s="16" t="n"/>
      <c r="AI26" s="18">
        <f>SUM(D26:AH26)</f>
        <v/>
      </c>
      <c r="AJ26" s="18" t="n">
        <v>0.033125</v>
      </c>
      <c r="AK26" s="18">
        <f>AJ26-AI26</f>
        <v/>
      </c>
      <c r="AL26" s="14" t="n"/>
      <c r="AM26" s="14" t="n"/>
      <c r="AN26" s="14" t="n"/>
    </row>
    <row r="27" ht="17.1" customHeight="1">
      <c r="A27" s="13" t="inlineStr">
        <is>
          <t>SALPIETRO GIANLUCA</t>
        </is>
      </c>
      <c r="B27" s="14" t="inlineStr">
        <is>
          <t>SLPGLC81B17G377J</t>
        </is>
      </c>
      <c r="C27" s="13" t="inlineStr">
        <is>
          <t>Big Data - Tecninf - Fondoconoscenza</t>
        </is>
      </c>
      <c r="D27" s="15" t="n"/>
      <c r="E27" s="16" t="n"/>
      <c r="F27" s="16" t="n"/>
      <c r="G27" s="19" t="n">
        <v>0.008425925925925925</v>
      </c>
      <c r="H27" s="19" t="n">
        <v>0.1095949074074074</v>
      </c>
      <c r="I27" s="17" t="n">
        <v>0.0629050925925926</v>
      </c>
      <c r="J27" s="17" t="n">
        <v>0.06482638888888889</v>
      </c>
      <c r="K27" s="17" t="n">
        <v>0.03143518518518518</v>
      </c>
      <c r="L27" s="16" t="n"/>
      <c r="M27" s="16" t="n"/>
      <c r="N27" s="17" t="n">
        <v>0.04181712962962963</v>
      </c>
      <c r="O27" s="17" t="n">
        <v>0.05277777777777778</v>
      </c>
      <c r="P27" s="19" t="n">
        <v>0.1150347222222222</v>
      </c>
      <c r="Q27" s="15" t="n"/>
      <c r="R27" s="17" t="n">
        <v>0.09502314814814815</v>
      </c>
      <c r="S27" s="16" t="n"/>
      <c r="T27" s="16" t="n"/>
      <c r="U27" s="15" t="n"/>
      <c r="V27" s="19" t="n">
        <v>0.1775231481481482</v>
      </c>
      <c r="W27" s="15" t="n"/>
      <c r="X27" s="17" t="n">
        <v>0.01055555555555556</v>
      </c>
      <c r="Y27" s="15" t="n"/>
      <c r="Z27" s="16" t="n"/>
      <c r="AA27" s="16" t="n"/>
      <c r="AB27" s="17" t="n">
        <v>0.04765046296296296</v>
      </c>
      <c r="AC27" s="15" t="n"/>
      <c r="AD27" s="15" t="n"/>
      <c r="AE27" s="17" t="n">
        <v>0.0707175925925926</v>
      </c>
      <c r="AF27" s="15" t="n"/>
      <c r="AG27" s="16" t="n"/>
      <c r="AH27" s="16" t="n"/>
      <c r="AI27" s="18">
        <f>SUM(D27:AH27)</f>
        <v/>
      </c>
      <c r="AJ27" s="18" t="n">
        <v>1.0484375</v>
      </c>
      <c r="AK27" s="18">
        <f>AJ27-AI27</f>
        <v/>
      </c>
      <c r="AL27" s="14" t="n"/>
      <c r="AM27" s="18" t="n">
        <v>0.160150462962963</v>
      </c>
      <c r="AN27" s="14" t="n"/>
    </row>
    <row r="28" ht="17.1" customHeight="1">
      <c r="A28" s="13" t="inlineStr">
        <is>
          <t>SALVATI CARMINE</t>
        </is>
      </c>
      <c r="B28" s="14" t="inlineStr">
        <is>
          <t>SLVCMN80D14D086Z</t>
        </is>
      </c>
      <c r="C28" s="13" t="inlineStr">
        <is>
          <t>Big Data - Tecninf - Fondoconoscenza</t>
        </is>
      </c>
      <c r="D28" s="15" t="n"/>
      <c r="E28" s="16" t="n"/>
      <c r="F28" s="16" t="n"/>
      <c r="G28" s="15" t="n"/>
      <c r="H28" s="15" t="n"/>
      <c r="I28" s="15" t="n"/>
      <c r="J28" s="15" t="n"/>
      <c r="K28" s="15" t="n"/>
      <c r="L28" s="16" t="n"/>
      <c r="M28" s="16" t="n"/>
      <c r="N28" s="15" t="n"/>
      <c r="O28" s="17" t="n">
        <v>0.05545138888888889</v>
      </c>
      <c r="P28" s="17" t="n">
        <v>0.0193287037037037</v>
      </c>
      <c r="Q28" s="17" t="n">
        <v>0.115775462962963</v>
      </c>
      <c r="R28" s="19" t="n">
        <v>0.1631828703703704</v>
      </c>
      <c r="S28" s="16" t="n"/>
      <c r="T28" s="16" t="n"/>
      <c r="U28" s="15" t="n"/>
      <c r="V28" s="15" t="n"/>
      <c r="W28" s="17" t="n">
        <v>0.00287037037037037</v>
      </c>
      <c r="X28" s="15" t="n"/>
      <c r="Y28" s="15" t="n"/>
      <c r="Z28" s="16" t="n"/>
      <c r="AA28" s="16" t="n"/>
      <c r="AB28" s="15" t="n"/>
      <c r="AC28" s="15" t="n"/>
      <c r="AD28" s="15" t="n"/>
      <c r="AE28" s="15" t="n"/>
      <c r="AF28" s="15" t="n"/>
      <c r="AG28" s="16" t="n"/>
      <c r="AH28" s="16" t="n"/>
      <c r="AI28" s="18">
        <f>SUM(D28:AH28)</f>
        <v/>
      </c>
      <c r="AJ28" s="18" t="n">
        <v>0.3568055555555555</v>
      </c>
      <c r="AK28" s="18">
        <f>AJ28-AI28</f>
        <v/>
      </c>
      <c r="AL28" s="14" t="n"/>
      <c r="AM28" s="18" t="n">
        <v>0.0001967592592592593</v>
      </c>
      <c r="AN28" s="14" t="n"/>
    </row>
    <row r="29" ht="17.1" customHeight="1">
      <c r="A29" s="13" t="inlineStr">
        <is>
          <t>SAMBRINI ALESSIA</t>
        </is>
      </c>
      <c r="B29" s="14" t="inlineStr">
        <is>
          <t>SMBLSS74D47H501E</t>
        </is>
      </c>
      <c r="C29" s="13" t="inlineStr">
        <is>
          <t>Big Data - Tecninf - Fondoconoscenza</t>
        </is>
      </c>
      <c r="D29" s="15" t="n"/>
      <c r="E29" s="16" t="n"/>
      <c r="F29" s="16" t="n"/>
      <c r="G29" s="15" t="n"/>
      <c r="H29" s="15" t="n"/>
      <c r="I29" s="15" t="n"/>
      <c r="J29" s="15" t="n"/>
      <c r="K29" s="15" t="n"/>
      <c r="L29" s="16" t="n"/>
      <c r="M29" s="16" t="n"/>
      <c r="N29" s="17" t="n">
        <v>0.132349537037037</v>
      </c>
      <c r="O29" s="15" t="n"/>
      <c r="P29" s="15" t="n"/>
      <c r="Q29" s="15" t="n"/>
      <c r="R29" s="15" t="n"/>
      <c r="S29" s="16" t="n"/>
      <c r="T29" s="16" t="n"/>
      <c r="U29" s="15" t="n"/>
      <c r="V29" s="15" t="n"/>
      <c r="W29" s="15" t="n"/>
      <c r="X29" s="15" t="n"/>
      <c r="Y29" s="15" t="n"/>
      <c r="Z29" s="16" t="n"/>
      <c r="AA29" s="16" t="n"/>
      <c r="AB29" s="15" t="n"/>
      <c r="AC29" s="15" t="n"/>
      <c r="AD29" s="15" t="n"/>
      <c r="AE29" s="15" t="n"/>
      <c r="AF29" s="15" t="n"/>
      <c r="AG29" s="16" t="n"/>
      <c r="AH29" s="16" t="n"/>
      <c r="AI29" s="18">
        <f>SUM(D29:AH29)</f>
        <v/>
      </c>
      <c r="AJ29" s="18" t="n">
        <v>0.132349537037037</v>
      </c>
      <c r="AK29" s="18">
        <f>AJ29-AI29</f>
        <v/>
      </c>
      <c r="AL29" s="14" t="n"/>
      <c r="AM29" s="14" t="n"/>
      <c r="AN29" s="14" t="n"/>
    </row>
    <row r="30" ht="17.1" customHeight="1">
      <c r="A30" s="13" t="inlineStr">
        <is>
          <t>SAVAIANO SILVIA</t>
        </is>
      </c>
      <c r="B30" s="14" t="inlineStr">
        <is>
          <t>SVNSLV89A46H501I</t>
        </is>
      </c>
      <c r="C30" s="13" t="inlineStr">
        <is>
          <t>La programmazione - Tecninf - Fondoconoscenza</t>
        </is>
      </c>
      <c r="D30" s="15" t="n"/>
      <c r="E30" s="16" t="n"/>
      <c r="F30" s="16" t="n"/>
      <c r="G30" s="15" t="n"/>
      <c r="H30" s="15" t="n"/>
      <c r="I30" s="15" t="n"/>
      <c r="J30" s="15" t="n"/>
      <c r="K30" s="15" t="n"/>
      <c r="L30" s="16" t="n"/>
      <c r="M30" s="16" t="n"/>
      <c r="N30" s="15" t="n"/>
      <c r="O30" s="15" t="n"/>
      <c r="P30" s="15" t="n"/>
      <c r="Q30" s="15" t="n"/>
      <c r="R30" s="15" t="n"/>
      <c r="S30" s="16" t="n"/>
      <c r="T30" s="16" t="n"/>
      <c r="U30" s="15" t="n"/>
      <c r="V30" s="15" t="n"/>
      <c r="W30" s="15" t="n"/>
      <c r="X30" s="15" t="n"/>
      <c r="Y30" s="15" t="n"/>
      <c r="Z30" s="16" t="n"/>
      <c r="AA30" s="16" t="n"/>
      <c r="AB30" s="15" t="n"/>
      <c r="AC30" s="15" t="n"/>
      <c r="AD30" s="15" t="n"/>
      <c r="AE30" s="15" t="n"/>
      <c r="AF30" s="15" t="n"/>
      <c r="AG30" s="16" t="n"/>
      <c r="AH30" s="16" t="n"/>
      <c r="AI30" s="18">
        <f>SUM(D30:AH30)</f>
        <v/>
      </c>
      <c r="AJ30" s="14" t="n"/>
      <c r="AK30" s="18">
        <f>AJ30-AI30</f>
        <v/>
      </c>
      <c r="AL30" s="14" t="n"/>
      <c r="AM30" s="14" t="n"/>
      <c r="AN30" s="14" t="n"/>
    </row>
    <row r="31" ht="17.1" customHeight="1">
      <c r="A31" s="13" t="inlineStr">
        <is>
          <t>SCALVEDI FILIPPO</t>
        </is>
      </c>
      <c r="B31" s="14" t="inlineStr">
        <is>
          <t>SCLFPP97S05H501K</t>
        </is>
      </c>
      <c r="C31" s="13" t="inlineStr">
        <is>
          <t>Big Data - Tecninf - Fondoconoscenza</t>
        </is>
      </c>
      <c r="D31" s="15" t="n"/>
      <c r="E31" s="16" t="n"/>
      <c r="F31" s="16" t="n"/>
      <c r="G31" s="15" t="n"/>
      <c r="H31" s="15" t="n"/>
      <c r="I31" s="15" t="n"/>
      <c r="J31" s="15" t="n"/>
      <c r="K31" s="15" t="n"/>
      <c r="L31" s="16" t="n"/>
      <c r="M31" s="16" t="n"/>
      <c r="N31" s="15" t="n"/>
      <c r="O31" s="15" t="n"/>
      <c r="P31" s="15" t="n"/>
      <c r="Q31" s="15" t="n"/>
      <c r="R31" s="15" t="n"/>
      <c r="S31" s="16" t="n"/>
      <c r="T31" s="16" t="n"/>
      <c r="U31" s="15" t="n"/>
      <c r="V31" s="15" t="n"/>
      <c r="W31" s="15" t="n"/>
      <c r="X31" s="15" t="n"/>
      <c r="Y31" s="15" t="n"/>
      <c r="Z31" s="16" t="n"/>
      <c r="AA31" s="16" t="n"/>
      <c r="AB31" s="15" t="n"/>
      <c r="AC31" s="15" t="n"/>
      <c r="AD31" s="15" t="n"/>
      <c r="AE31" s="15" t="n"/>
      <c r="AF31" s="15" t="n"/>
      <c r="AG31" s="16" t="n"/>
      <c r="AH31" s="16" t="n"/>
      <c r="AI31" s="18">
        <f>SUM(D31:AH31)</f>
        <v/>
      </c>
      <c r="AJ31" s="14" t="n"/>
      <c r="AK31" s="18">
        <f>AJ31-AI31</f>
        <v/>
      </c>
      <c r="AL31" s="14" t="n"/>
      <c r="AM31" s="14" t="n"/>
      <c r="AN31" s="14" t="n"/>
    </row>
    <row r="32" ht="17.1" customHeight="1">
      <c r="A32" s="13" t="inlineStr">
        <is>
          <t>SCRIMIERI TIZIANO</t>
        </is>
      </c>
      <c r="B32" s="14" t="inlineStr">
        <is>
          <t>SCRTZN80A09H501I</t>
        </is>
      </c>
      <c r="C32" s="13" t="inlineStr">
        <is>
          <t>Big Data - Tecninf - Fondoconoscenza</t>
        </is>
      </c>
      <c r="D32" s="15" t="n"/>
      <c r="E32" s="16" t="n"/>
      <c r="F32" s="16" t="n"/>
      <c r="G32" s="15" t="n"/>
      <c r="H32" s="15" t="n"/>
      <c r="I32" s="15" t="n"/>
      <c r="J32" s="15" t="n"/>
      <c r="K32" s="15" t="n"/>
      <c r="L32" s="16" t="n"/>
      <c r="M32" s="16" t="n"/>
      <c r="N32" s="15" t="n"/>
      <c r="O32" s="15" t="n"/>
      <c r="P32" s="15" t="n"/>
      <c r="Q32" s="15" t="n"/>
      <c r="R32" s="15" t="n"/>
      <c r="S32" s="16" t="n"/>
      <c r="T32" s="16" t="n"/>
      <c r="U32" s="15" t="n"/>
      <c r="V32" s="15" t="n"/>
      <c r="W32" s="15" t="n"/>
      <c r="X32" s="15" t="n"/>
      <c r="Y32" s="15" t="n"/>
      <c r="Z32" s="16" t="n"/>
      <c r="AA32" s="16" t="n"/>
      <c r="AB32" s="15" t="n"/>
      <c r="AC32" s="15" t="n"/>
      <c r="AD32" s="15" t="n"/>
      <c r="AE32" s="15" t="n"/>
      <c r="AF32" s="15" t="n"/>
      <c r="AG32" s="16" t="n"/>
      <c r="AH32" s="16" t="n"/>
      <c r="AI32" s="18">
        <f>SUM(D32:AH32)</f>
        <v/>
      </c>
      <c r="AJ32" s="14" t="n"/>
      <c r="AK32" s="18">
        <f>AJ32-AI32</f>
        <v/>
      </c>
      <c r="AL32" s="14" t="n"/>
      <c r="AM32" s="14" t="n"/>
      <c r="AN32" s="14" t="n"/>
    </row>
    <row r="33" ht="17.1" customHeight="1">
      <c r="A33" s="13" t="inlineStr">
        <is>
          <t>STASIUC DENIS</t>
        </is>
      </c>
      <c r="B33" s="14" t="inlineStr">
        <is>
          <t>STSDNS91B05Z140T</t>
        </is>
      </c>
      <c r="C33" s="13" t="inlineStr">
        <is>
          <t>Big Data - Tecninf - Fondoconoscenza</t>
        </is>
      </c>
      <c r="D33" s="15" t="n"/>
      <c r="E33" s="16" t="n"/>
      <c r="F33" s="16" t="n"/>
      <c r="G33" s="17" t="n">
        <v>0.04185185185185185</v>
      </c>
      <c r="H33" s="15" t="n"/>
      <c r="I33" s="15" t="n"/>
      <c r="J33" s="15" t="n"/>
      <c r="K33" s="17" t="n">
        <v>0.03983796296296296</v>
      </c>
      <c r="L33" s="16" t="n"/>
      <c r="M33" s="16" t="n"/>
      <c r="N33" s="17" t="n">
        <v>0.01186342592592593</v>
      </c>
      <c r="O33" s="17" t="n">
        <v>0.05314814814814815</v>
      </c>
      <c r="P33" s="17" t="n">
        <v>0.1161805555555556</v>
      </c>
      <c r="Q33" s="15" t="n"/>
      <c r="R33" s="15" t="n"/>
      <c r="S33" s="16" t="n"/>
      <c r="T33" s="16" t="n"/>
      <c r="U33" s="17" t="n">
        <v>0.0302662037037037</v>
      </c>
      <c r="V33" s="15" t="n"/>
      <c r="W33" s="17" t="n">
        <v>0.1317361111111111</v>
      </c>
      <c r="X33" s="17" t="n">
        <v>0.1324305555555556</v>
      </c>
      <c r="Y33" s="17" t="n">
        <v>0.1488078703703704</v>
      </c>
      <c r="Z33" s="16" t="n"/>
      <c r="AA33" s="16" t="n"/>
      <c r="AB33" s="17" t="n">
        <v>0.1382060185185185</v>
      </c>
      <c r="AC33" s="17" t="n">
        <v>0.1496759259259259</v>
      </c>
      <c r="AD33" s="15" t="n"/>
      <c r="AE33" s="15" t="n"/>
      <c r="AF33" s="17" t="n">
        <v>0.06137731481481482</v>
      </c>
      <c r="AG33" s="16" t="n"/>
      <c r="AH33" s="16" t="n"/>
      <c r="AI33" s="18">
        <f>SUM(D33:AH33)</f>
        <v/>
      </c>
      <c r="AJ33" s="18" t="n">
        <v>1.055381944444445</v>
      </c>
      <c r="AK33" s="18">
        <f>AJ33-AI33</f>
        <v/>
      </c>
      <c r="AL33" s="14" t="n"/>
      <c r="AM33" s="14" t="n"/>
      <c r="AN33" s="14" t="n"/>
    </row>
    <row r="34" ht="17.1" customHeight="1">
      <c r="A34" s="13" t="inlineStr">
        <is>
          <t>TARISCIOTTI ANDREA</t>
        </is>
      </c>
      <c r="B34" s="14" t="inlineStr">
        <is>
          <t>TRSNDR97M24H501B</t>
        </is>
      </c>
      <c r="C34" s="13" t="inlineStr">
        <is>
          <t>La programmazione - Tecninf - Fondoconoscenza</t>
        </is>
      </c>
      <c r="D34" s="15" t="n"/>
      <c r="E34" s="16" t="n"/>
      <c r="F34" s="16" t="n"/>
      <c r="G34" s="15" t="n"/>
      <c r="H34" s="15" t="n"/>
      <c r="I34" s="15" t="n"/>
      <c r="J34" s="15" t="n"/>
      <c r="K34" s="15" t="n"/>
      <c r="L34" s="16" t="n"/>
      <c r="M34" s="16" t="n"/>
      <c r="N34" s="15" t="n"/>
      <c r="O34" s="15" t="n"/>
      <c r="P34" s="15" t="n"/>
      <c r="Q34" s="15" t="n"/>
      <c r="R34" s="15" t="n"/>
      <c r="S34" s="16" t="n"/>
      <c r="T34" s="16" t="n"/>
      <c r="U34" s="15" t="n"/>
      <c r="V34" s="15" t="n"/>
      <c r="W34" s="15" t="n"/>
      <c r="X34" s="15" t="n"/>
      <c r="Y34" s="15" t="n"/>
      <c r="Z34" s="16" t="n"/>
      <c r="AA34" s="16" t="n"/>
      <c r="AB34" s="15" t="n"/>
      <c r="AC34" s="15" t="n"/>
      <c r="AD34" s="15" t="n"/>
      <c r="AE34" s="15" t="n"/>
      <c r="AF34" s="15" t="n"/>
      <c r="AG34" s="16" t="n"/>
      <c r="AH34" s="16" t="n"/>
      <c r="AI34" s="18">
        <f>SUM(D34:AH34)</f>
        <v/>
      </c>
      <c r="AJ34" s="14" t="n"/>
      <c r="AK34" s="18">
        <f>AJ34-AI34</f>
        <v/>
      </c>
      <c r="AL34" s="14" t="n"/>
      <c r="AM34" s="14" t="n"/>
      <c r="AN34" s="14" t="n"/>
    </row>
    <row r="35" ht="17.1" customHeight="1">
      <c r="A35" s="13" t="inlineStr">
        <is>
          <t>TOCI ANTONETA</t>
        </is>
      </c>
      <c r="B35" s="14" t="inlineStr">
        <is>
          <t>TCONNT91H59Z100O</t>
        </is>
      </c>
      <c r="C35" s="13" t="inlineStr">
        <is>
          <t>La programmazione - Tecninf - Fondoconoscenza</t>
        </is>
      </c>
      <c r="D35" s="15" t="n"/>
      <c r="E35" s="16" t="n"/>
      <c r="F35" s="16" t="n"/>
      <c r="G35" s="15" t="n"/>
      <c r="H35" s="15" t="n"/>
      <c r="I35" s="15" t="n"/>
      <c r="J35" s="15" t="n"/>
      <c r="K35" s="15" t="n"/>
      <c r="L35" s="16" t="n"/>
      <c r="M35" s="16" t="n"/>
      <c r="N35" s="15" t="n"/>
      <c r="O35" s="15" t="n"/>
      <c r="P35" s="15" t="n"/>
      <c r="Q35" s="15" t="n"/>
      <c r="R35" s="15" t="n"/>
      <c r="S35" s="16" t="n"/>
      <c r="T35" s="16" t="n"/>
      <c r="U35" s="15" t="n"/>
      <c r="V35" s="15" t="n"/>
      <c r="W35" s="15" t="n"/>
      <c r="X35" s="15" t="n"/>
      <c r="Y35" s="15" t="n"/>
      <c r="Z35" s="16" t="n"/>
      <c r="AA35" s="16" t="n"/>
      <c r="AB35" s="15" t="n"/>
      <c r="AC35" s="15" t="n"/>
      <c r="AD35" s="15" t="n"/>
      <c r="AE35" s="15" t="n"/>
      <c r="AF35" s="15" t="n"/>
      <c r="AG35" s="16" t="n"/>
      <c r="AH35" s="16" t="n"/>
      <c r="AI35" s="18">
        <f>SUM(D35:AH35)</f>
        <v/>
      </c>
      <c r="AJ35" s="14" t="n"/>
      <c r="AK35" s="18">
        <f>AJ35-AI35</f>
        <v/>
      </c>
      <c r="AL35" s="14" t="n"/>
      <c r="AM35" s="14" t="n"/>
      <c r="AN35" s="14" t="n"/>
    </row>
    <row r="36" ht="17.1" customHeight="1">
      <c r="A36" s="13" t="inlineStr">
        <is>
          <t>VISWANATHAN SRIDHAR</t>
        </is>
      </c>
      <c r="B36" s="14" t="inlineStr">
        <is>
          <t>VSWSDH86S22Z222H</t>
        </is>
      </c>
      <c r="C36" s="13" t="inlineStr">
        <is>
          <t>Project Management per il digitale - Tecninf - Fondoconoscenza</t>
        </is>
      </c>
      <c r="D36" s="15" t="n"/>
      <c r="E36" s="16" t="n"/>
      <c r="F36" s="16" t="n"/>
      <c r="G36" s="15" t="n"/>
      <c r="H36" s="15" t="n"/>
      <c r="I36" s="15" t="n"/>
      <c r="J36" s="15" t="n"/>
      <c r="K36" s="15" t="n"/>
      <c r="L36" s="16" t="n"/>
      <c r="M36" s="16" t="n"/>
      <c r="N36" s="15" t="n"/>
      <c r="O36" s="15" t="n"/>
      <c r="P36" s="15" t="n"/>
      <c r="Q36" s="15" t="n"/>
      <c r="R36" s="15" t="n"/>
      <c r="S36" s="16" t="n"/>
      <c r="T36" s="16" t="n"/>
      <c r="U36" s="15" t="n"/>
      <c r="V36" s="15" t="n"/>
      <c r="W36" s="15" t="n"/>
      <c r="X36" s="15" t="n"/>
      <c r="Y36" s="15" t="n"/>
      <c r="Z36" s="16" t="n"/>
      <c r="AA36" s="16" t="n"/>
      <c r="AB36" s="15" t="n"/>
      <c r="AC36" s="15" t="n"/>
      <c r="AD36" s="15" t="n"/>
      <c r="AE36" s="15" t="n"/>
      <c r="AF36" s="15" t="n"/>
      <c r="AG36" s="16" t="n"/>
      <c r="AH36" s="16" t="n"/>
      <c r="AI36" s="18">
        <f>SUM(D36:AH36)</f>
        <v/>
      </c>
      <c r="AJ36" s="14" t="n"/>
      <c r="AK36" s="18">
        <f>AJ36-AI36</f>
        <v/>
      </c>
      <c r="AL36" s="14" t="n"/>
      <c r="AM36" s="14" t="n"/>
      <c r="AN36" s="14" t="n"/>
    </row>
    <row r="37" ht="17.1" customHeight="1">
      <c r="A37" s="20" t="inlineStr">
        <is>
          <t>TOTALE</t>
        </is>
      </c>
      <c r="B37" s="21" t="n"/>
      <c r="C37" s="21" t="n"/>
      <c r="D37" s="22">
        <f>SUM(D4:D36)</f>
        <v/>
      </c>
      <c r="E37" s="22">
        <f>SUM(E4:E36)</f>
        <v/>
      </c>
      <c r="F37" s="22">
        <f>SUM(F4:F36)</f>
        <v/>
      </c>
      <c r="G37" s="22">
        <f>SUM(G4:G36)</f>
        <v/>
      </c>
      <c r="H37" s="22">
        <f>SUM(H4:H36)</f>
        <v/>
      </c>
      <c r="I37" s="22">
        <f>SUM(I4:I36)</f>
        <v/>
      </c>
      <c r="J37" s="22">
        <f>SUM(J4:J36)</f>
        <v/>
      </c>
      <c r="K37" s="22">
        <f>SUM(K4:K36)</f>
        <v/>
      </c>
      <c r="L37" s="22">
        <f>SUM(L4:L36)</f>
        <v/>
      </c>
      <c r="M37" s="22">
        <f>SUM(M4:M36)</f>
        <v/>
      </c>
      <c r="N37" s="22">
        <f>SUM(N4:N36)</f>
        <v/>
      </c>
      <c r="O37" s="22">
        <f>SUM(O4:O36)</f>
        <v/>
      </c>
      <c r="P37" s="22">
        <f>SUM(P4:P36)</f>
        <v/>
      </c>
      <c r="Q37" s="22">
        <f>SUM(Q4:Q36)</f>
        <v/>
      </c>
      <c r="R37" s="22">
        <f>SUM(R4:R36)</f>
        <v/>
      </c>
      <c r="S37" s="22">
        <f>SUM(S4:S36)</f>
        <v/>
      </c>
      <c r="T37" s="22">
        <f>SUM(T4:T36)</f>
        <v/>
      </c>
      <c r="U37" s="22">
        <f>SUM(U4:U36)</f>
        <v/>
      </c>
      <c r="V37" s="22">
        <f>SUM(V4:V36)</f>
        <v/>
      </c>
      <c r="W37" s="22">
        <f>SUM(W4:W36)</f>
        <v/>
      </c>
      <c r="X37" s="22">
        <f>SUM(X4:X36)</f>
        <v/>
      </c>
      <c r="Y37" s="22">
        <f>SUM(Y4:Y36)</f>
        <v/>
      </c>
      <c r="Z37" s="22">
        <f>SUM(Z4:Z36)</f>
        <v/>
      </c>
      <c r="AA37" s="22">
        <f>SUM(AA4:AA36)</f>
        <v/>
      </c>
      <c r="AB37" s="22">
        <f>SUM(AB4:AB36)</f>
        <v/>
      </c>
      <c r="AC37" s="22">
        <f>SUM(AC4:AC36)</f>
        <v/>
      </c>
      <c r="AD37" s="22">
        <f>SUM(AD4:AD36)</f>
        <v/>
      </c>
      <c r="AE37" s="22">
        <f>SUM(AE4:AE36)</f>
        <v/>
      </c>
      <c r="AF37" s="22">
        <f>SUM(AF4:AF36)</f>
        <v/>
      </c>
      <c r="AG37" s="22">
        <f>SUM(AG4:AG36)</f>
        <v/>
      </c>
      <c r="AH37" s="22">
        <f>SUM(AH4:AH36)</f>
        <v/>
      </c>
      <c r="AI37" s="22">
        <f>SUM(AI4:AI36)</f>
        <v/>
      </c>
      <c r="AJ37" s="22">
        <f>SUM(AJ4:AJ36)</f>
        <v/>
      </c>
      <c r="AK37" s="22">
        <f>SUM(AK4:AK36)</f>
        <v/>
      </c>
      <c r="AL37" s="22">
        <f>SUM(AL4:AL36)</f>
        <v/>
      </c>
      <c r="AM37" s="22">
        <f>SUM(AM4:AM36)</f>
        <v/>
      </c>
      <c r="AN37" s="22">
        <f>SUM(AN4:AN36)</f>
        <v/>
      </c>
    </row>
  </sheetData>
  <mergeCells count="1">
    <mergeCell ref="A1:AN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7" customWidth="1" min="2" max="2"/>
    <col width="35" customWidth="1" min="3" max="3"/>
    <col width="6.42578125" customWidth="1" min="4" max="4"/>
    <col width="6.42578125" customWidth="1" min="5" max="5"/>
    <col width="6.42578125" customWidth="1" min="6" max="6"/>
    <col width="6.42578125" customWidth="1" min="7" max="7"/>
    <col width="6.42578125" customWidth="1" min="8" max="8"/>
    <col width="6.42578125" customWidth="1" min="9" max="9"/>
    <col width="6.42578125" customWidth="1" min="10" max="10"/>
    <col width="6.42578125" customWidth="1" min="11" max="11"/>
    <col width="6.42578125" customWidth="1" min="12" max="12"/>
    <col width="6.42578125" customWidth="1" min="13" max="13"/>
    <col width="6.42578125" customWidth="1" min="14" max="14"/>
    <col width="6.42578125" customWidth="1" min="15" max="15"/>
    <col width="6.42578125" customWidth="1" min="16" max="16"/>
    <col width="6.42578125" customWidth="1" min="17" max="17"/>
    <col width="6.42578125" customWidth="1" min="18" max="18"/>
    <col width="6.42578125" customWidth="1" min="19" max="19"/>
    <col width="6.42578125" customWidth="1" min="20" max="20"/>
    <col width="6.42578125" customWidth="1" min="21" max="21"/>
    <col width="6.42578125" customWidth="1" min="22" max="22"/>
    <col width="6.42578125" customWidth="1" min="23" max="23"/>
    <col width="6.42578125" customWidth="1" min="24" max="24"/>
    <col width="6.42578125" customWidth="1" min="25" max="25"/>
    <col width="6.42578125" customWidth="1" min="26" max="26"/>
    <col width="6.42578125" customWidth="1" min="27" max="27"/>
    <col width="6.42578125" customWidth="1" min="28" max="28"/>
    <col width="6.42578125" customWidth="1" min="29" max="29"/>
    <col width="6.42578125" customWidth="1" min="30" max="30"/>
    <col width="6.42578125" customWidth="1" min="31" max="31"/>
    <col width="6.42578125" customWidth="1" min="32" max="32"/>
    <col width="6.42578125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</cols>
  <sheetData>
    <row r="1" ht="26.1" customHeight="1">
      <c r="A1" s="1" t="inlineStr">
        <is>
          <t>MONITORAGGIO ORE FORMAZIONE - Giugno 2026 - TECNINF SPA</t>
        </is>
      </c>
    </row>
    <row r="2" ht="38.1" customHeight="1"/>
    <row r="3" ht="32.1" customHeight="1">
      <c r="A3" s="2" t="inlineStr">
        <is>
          <t>Utente</t>
        </is>
      </c>
      <c r="B3" s="2" t="inlineStr">
        <is>
          <t>Codice Fiscale</t>
        </is>
      </c>
      <c r="C3" s="2" t="inlineStr">
        <is>
          <t>Percorso Formativo</t>
        </is>
      </c>
      <c r="D3" s="11" t="inlineStr">
        <is>
          <t>1
L</t>
        </is>
      </c>
      <c r="E3" s="11" t="inlineStr">
        <is>
          <t>2
M</t>
        </is>
      </c>
      <c r="F3" s="11" t="inlineStr">
        <is>
          <t>3
M</t>
        </is>
      </c>
      <c r="G3" s="11" t="inlineStr">
        <is>
          <t>4
G</t>
        </is>
      </c>
      <c r="H3" s="11" t="inlineStr">
        <is>
          <t>5
V</t>
        </is>
      </c>
      <c r="I3" s="12" t="inlineStr">
        <is>
          <t>6
S</t>
        </is>
      </c>
      <c r="J3" s="12" t="inlineStr">
        <is>
          <t>7
D</t>
        </is>
      </c>
      <c r="K3" s="11" t="inlineStr">
        <is>
          <t>8
L</t>
        </is>
      </c>
      <c r="L3" s="11" t="inlineStr">
        <is>
          <t>9
M</t>
        </is>
      </c>
      <c r="M3" s="11" t="inlineStr">
        <is>
          <t>10
M</t>
        </is>
      </c>
      <c r="N3" s="11" t="inlineStr">
        <is>
          <t>11
G</t>
        </is>
      </c>
      <c r="O3" s="11" t="inlineStr">
        <is>
          <t>12
V</t>
        </is>
      </c>
      <c r="P3" s="12" t="inlineStr">
        <is>
          <t>13
S</t>
        </is>
      </c>
      <c r="Q3" s="12" t="inlineStr">
        <is>
          <t>14
D</t>
        </is>
      </c>
      <c r="R3" s="11" t="inlineStr">
        <is>
          <t>15
L</t>
        </is>
      </c>
      <c r="S3" s="11" t="inlineStr">
        <is>
          <t>16
M</t>
        </is>
      </c>
      <c r="T3" s="11" t="inlineStr">
        <is>
          <t>17
M</t>
        </is>
      </c>
      <c r="U3" s="11" t="inlineStr">
        <is>
          <t>18
G</t>
        </is>
      </c>
      <c r="V3" s="11" t="inlineStr">
        <is>
          <t>19
V</t>
        </is>
      </c>
      <c r="W3" s="12" t="inlineStr">
        <is>
          <t>20
S</t>
        </is>
      </c>
      <c r="X3" s="12" t="inlineStr">
        <is>
          <t>21
D</t>
        </is>
      </c>
      <c r="Y3" s="11" t="inlineStr">
        <is>
          <t>22
L</t>
        </is>
      </c>
      <c r="Z3" s="11" t="inlineStr">
        <is>
          <t>23
M</t>
        </is>
      </c>
      <c r="AA3" s="11" t="inlineStr">
        <is>
          <t>24
M</t>
        </is>
      </c>
      <c r="AB3" s="11" t="inlineStr">
        <is>
          <t>25
G</t>
        </is>
      </c>
      <c r="AC3" s="11" t="inlineStr">
        <is>
          <t>26
V</t>
        </is>
      </c>
      <c r="AD3" s="12" t="inlineStr">
        <is>
          <t>27
S</t>
        </is>
      </c>
      <c r="AE3" s="12" t="inlineStr">
        <is>
          <t>28
D</t>
        </is>
      </c>
      <c r="AF3" s="11" t="inlineStr">
        <is>
          <t>29
L</t>
        </is>
      </c>
      <c r="AG3" s="11" t="inlineStr">
        <is>
          <t>30
M</t>
        </is>
      </c>
      <c r="AH3" s="2" t="inlineStr">
        <is>
          <t>Totale
Ore Effettive</t>
        </is>
      </c>
      <c r="AI3" s="2" t="inlineStr">
        <is>
          <t>Ore
Totali</t>
        </is>
      </c>
      <c r="AJ3" s="2" t="inlineStr">
        <is>
          <t>Totale
Eccesso</t>
        </is>
      </c>
      <c r="AK3" s="2" t="inlineStr">
        <is>
          <t>Eccesso
Weekend</t>
        </is>
      </c>
      <c r="AL3" s="2" t="inlineStr">
        <is>
          <t>Eccesso
Dopo 18:00</t>
        </is>
      </c>
      <c r="AM3" s="2" t="inlineStr">
        <is>
          <t>Eccesso
Mattutino</t>
        </is>
      </c>
    </row>
    <row r="4" ht="17.1" customHeight="1">
      <c r="A4" s="13" t="inlineStr">
        <is>
          <t>ALBA WILLIAM JULIAN PAZ</t>
        </is>
      </c>
      <c r="B4" s="14" t="inlineStr">
        <is>
          <t>PZLWLM96A16Z504F</t>
        </is>
      </c>
      <c r="C4" s="13" t="inlineStr">
        <is>
          <t>La programmazione - Tecninf - Fondoconoscenza</t>
        </is>
      </c>
      <c r="D4" s="15" t="n"/>
      <c r="E4" s="15" t="n"/>
      <c r="F4" s="15" t="n"/>
      <c r="G4" s="15" t="n"/>
      <c r="H4" s="15" t="n"/>
      <c r="I4" s="16" t="n"/>
      <c r="J4" s="16" t="n"/>
      <c r="K4" s="15" t="n"/>
      <c r="L4" s="15" t="n"/>
      <c r="M4" s="15" t="n"/>
      <c r="N4" s="15" t="n"/>
      <c r="O4" s="15" t="n"/>
      <c r="P4" s="16" t="n"/>
      <c r="Q4" s="16" t="n"/>
      <c r="R4" s="15" t="n"/>
      <c r="S4" s="15" t="n"/>
      <c r="T4" s="15" t="n"/>
      <c r="U4" s="15" t="n"/>
      <c r="V4" s="15" t="n"/>
      <c r="W4" s="16" t="n"/>
      <c r="X4" s="16" t="n"/>
      <c r="Y4" s="15" t="n"/>
      <c r="Z4" s="15" t="n"/>
      <c r="AA4" s="15" t="n"/>
      <c r="AB4" s="15" t="n"/>
      <c r="AC4" s="15" t="n"/>
      <c r="AD4" s="16" t="n"/>
      <c r="AE4" s="16" t="n"/>
      <c r="AF4" s="15" t="n"/>
      <c r="AG4" s="15" t="n"/>
      <c r="AH4" s="18">
        <f>SUM(D4:AG4)</f>
        <v/>
      </c>
      <c r="AI4" s="14" t="n"/>
      <c r="AJ4" s="18">
        <f>AI4-AH4</f>
        <v/>
      </c>
      <c r="AK4" s="14" t="n"/>
      <c r="AL4" s="14" t="n"/>
      <c r="AM4" s="14" t="n"/>
    </row>
    <row r="5" ht="17.1" customHeight="1">
      <c r="A5" s="13" t="inlineStr">
        <is>
          <t>BADII ALESSANDRO</t>
        </is>
      </c>
      <c r="B5" s="14" t="inlineStr">
        <is>
          <t>BDALSN01R03H501Z</t>
        </is>
      </c>
      <c r="C5" s="13" t="inlineStr">
        <is>
          <t>Big Data - Tecninf - Fondoconoscenza</t>
        </is>
      </c>
      <c r="D5" s="15" t="n"/>
      <c r="E5" s="15" t="n"/>
      <c r="F5" s="15" t="n"/>
      <c r="G5" s="15" t="n"/>
      <c r="H5" s="15" t="n"/>
      <c r="I5" s="16" t="n"/>
      <c r="J5" s="16" t="n"/>
      <c r="K5" s="15" t="n"/>
      <c r="L5" s="15" t="n"/>
      <c r="M5" s="15" t="n"/>
      <c r="N5" s="15" t="n"/>
      <c r="O5" s="15" t="n"/>
      <c r="P5" s="16" t="n"/>
      <c r="Q5" s="16" t="n"/>
      <c r="R5" s="15" t="n"/>
      <c r="S5" s="15" t="n"/>
      <c r="T5" s="15" t="n"/>
      <c r="U5" s="15" t="n"/>
      <c r="V5" s="15" t="n"/>
      <c r="W5" s="16" t="n"/>
      <c r="X5" s="16" t="n"/>
      <c r="Y5" s="15" t="n"/>
      <c r="Z5" s="15" t="n"/>
      <c r="AA5" s="15" t="n"/>
      <c r="AB5" s="15" t="n"/>
      <c r="AC5" s="15" t="n"/>
      <c r="AD5" s="16" t="n"/>
      <c r="AE5" s="16" t="n"/>
      <c r="AF5" s="15" t="n"/>
      <c r="AG5" s="15" t="n"/>
      <c r="AH5" s="18">
        <f>SUM(D5:AG5)</f>
        <v/>
      </c>
      <c r="AI5" s="14" t="n"/>
      <c r="AJ5" s="18">
        <f>AI5-AH5</f>
        <v/>
      </c>
      <c r="AK5" s="14" t="n"/>
      <c r="AL5" s="14" t="n"/>
      <c r="AM5" s="14" t="n"/>
    </row>
    <row r="6" ht="17.1" customHeight="1">
      <c r="A6" s="13" t="inlineStr">
        <is>
          <t>BADINE HICHAM</t>
        </is>
      </c>
      <c r="B6" s="14" t="inlineStr">
        <is>
          <t>BDNHHM97H19H501Q</t>
        </is>
      </c>
      <c r="C6" s="13" t="inlineStr">
        <is>
          <t>La programmazione - Tecninf - Fondoconoscenza</t>
        </is>
      </c>
      <c r="D6" s="17" t="n">
        <v>0.04659722222222222</v>
      </c>
      <c r="E6" s="15" t="n"/>
      <c r="F6" s="17" t="n">
        <v>0.02957175925925926</v>
      </c>
      <c r="G6" s="17" t="n">
        <v>0.01334490740740741</v>
      </c>
      <c r="H6" s="15" t="n"/>
      <c r="I6" s="16" t="n"/>
      <c r="J6" s="16" t="n"/>
      <c r="K6" s="17" t="n">
        <v>0.06789351851851852</v>
      </c>
      <c r="L6" s="17" t="n">
        <v>0.02298611111111111</v>
      </c>
      <c r="M6" s="17" t="n">
        <v>0.06563657407407407</v>
      </c>
      <c r="N6" s="17" t="n">
        <v>0.05329861111111111</v>
      </c>
      <c r="O6" s="15" t="n"/>
      <c r="P6" s="16" t="n"/>
      <c r="Q6" s="16" t="n"/>
      <c r="R6" s="17" t="n">
        <v>0.05400462962962963</v>
      </c>
      <c r="S6" s="17" t="n">
        <v>0.08412037037037037</v>
      </c>
      <c r="T6" s="19" t="n">
        <v>0.07568287037037037</v>
      </c>
      <c r="U6" s="15" t="n"/>
      <c r="V6" s="17" t="n">
        <v>0.02325231481481482</v>
      </c>
      <c r="W6" s="16" t="n"/>
      <c r="X6" s="16" t="n"/>
      <c r="Y6" s="17" t="n">
        <v>0.07454861111111111</v>
      </c>
      <c r="Z6" s="17" t="n">
        <v>0.08116898148148148</v>
      </c>
      <c r="AA6" s="17" t="n">
        <v>0.05304398148148148</v>
      </c>
      <c r="AB6" s="19" t="n">
        <v>0.09565972222222222</v>
      </c>
      <c r="AC6" s="19" t="n">
        <v>0.03790509259259259</v>
      </c>
      <c r="AD6" s="16" t="n"/>
      <c r="AE6" s="16" t="n"/>
      <c r="AF6" s="15" t="n"/>
      <c r="AG6" s="17" t="n">
        <v>0.1080555555555556</v>
      </c>
      <c r="AH6" s="18">
        <f>SUM(D6:AG6)</f>
        <v/>
      </c>
      <c r="AI6" s="18" t="n">
        <v>0.9975347222222222</v>
      </c>
      <c r="AJ6" s="18">
        <f>AI6-AH6</f>
        <v/>
      </c>
      <c r="AK6" s="14" t="n"/>
      <c r="AL6" s="18" t="n">
        <v>0.01076388888888889</v>
      </c>
      <c r="AM6" s="14" t="n"/>
    </row>
    <row r="7" ht="17.1" customHeight="1">
      <c r="A7" s="13" t="inlineStr">
        <is>
          <t>BECIANI ANDREA</t>
        </is>
      </c>
      <c r="B7" s="14" t="inlineStr">
        <is>
          <t>BCNNDR82P16D773D</t>
        </is>
      </c>
      <c r="C7" s="13" t="inlineStr">
        <is>
          <t>La programmazione - Tecninf - Fondoconoscenza</t>
        </is>
      </c>
      <c r="D7" s="15" t="n"/>
      <c r="E7" s="15" t="n"/>
      <c r="F7" s="15" t="n"/>
      <c r="G7" s="19" t="n">
        <v>0.03671296296296296</v>
      </c>
      <c r="H7" s="17" t="n">
        <v>0.0368287037037037</v>
      </c>
      <c r="I7" s="16" t="n"/>
      <c r="J7" s="16" t="n"/>
      <c r="K7" s="17" t="n">
        <v>0.05039351851851852</v>
      </c>
      <c r="L7" s="17" t="n">
        <v>0.0565625</v>
      </c>
      <c r="M7" s="23" t="n">
        <v>0.04221064814814815</v>
      </c>
      <c r="N7" s="17" t="n">
        <v>0.03111111111111111</v>
      </c>
      <c r="O7" s="17" t="n">
        <v>0.008923611111111111</v>
      </c>
      <c r="P7" s="16" t="n"/>
      <c r="Q7" s="16" t="n"/>
      <c r="R7" s="17" t="n">
        <v>0.1937731481481481</v>
      </c>
      <c r="S7" s="17" t="n">
        <v>0.1466898148148148</v>
      </c>
      <c r="T7" s="17" t="n">
        <v>0.2213425925925926</v>
      </c>
      <c r="U7" s="17" t="n">
        <v>0.2168865740740741</v>
      </c>
      <c r="V7" s="17" t="n">
        <v>0.1651388888888889</v>
      </c>
      <c r="W7" s="16" t="n"/>
      <c r="X7" s="16" t="n"/>
      <c r="Y7" s="17" t="n">
        <v>0.08721064814814815</v>
      </c>
      <c r="Z7" s="17" t="n">
        <v>0.08832175925925925</v>
      </c>
      <c r="AA7" s="17" t="n">
        <v>0.05048611111111111</v>
      </c>
      <c r="AB7" s="17" t="n">
        <v>0.05114583333333333</v>
      </c>
      <c r="AC7" s="17" t="n">
        <v>0.03221064814814815</v>
      </c>
      <c r="AD7" s="16" t="n"/>
      <c r="AE7" s="16" t="n"/>
      <c r="AF7" s="15" t="n"/>
      <c r="AG7" s="15" t="n"/>
      <c r="AH7" s="18">
        <f>SUM(D7:AG7)</f>
        <v/>
      </c>
      <c r="AI7" s="18" t="n">
        <v>1.570381944444444</v>
      </c>
      <c r="AJ7" s="18">
        <f>AI7-AH7</f>
        <v/>
      </c>
      <c r="AK7" s="14" t="n"/>
      <c r="AL7" s="18" t="n">
        <v>0.02390046296296296</v>
      </c>
      <c r="AM7" s="18" t="n">
        <v>0.03053240740740741</v>
      </c>
    </row>
    <row r="8" ht="17.1" customHeight="1">
      <c r="A8" s="13" t="inlineStr">
        <is>
          <t>BOONTAWEE JUTATIP</t>
        </is>
      </c>
      <c r="B8" s="14" t="inlineStr">
        <is>
          <t>BNTJTP78S54Z241U</t>
        </is>
      </c>
      <c r="C8" s="13" t="inlineStr">
        <is>
          <t>Project Management per il digitale - Tecninf - Fondoconoscenza</t>
        </is>
      </c>
      <c r="D8" s="15" t="n"/>
      <c r="E8" s="15" t="n"/>
      <c r="F8" s="15" t="n"/>
      <c r="G8" s="15" t="n"/>
      <c r="H8" s="15" t="n"/>
      <c r="I8" s="16" t="n"/>
      <c r="J8" s="16" t="n"/>
      <c r="K8" s="15" t="n"/>
      <c r="L8" s="15" t="n"/>
      <c r="M8" s="15" t="n"/>
      <c r="N8" s="15" t="n"/>
      <c r="O8" s="15" t="n"/>
      <c r="P8" s="16" t="n"/>
      <c r="Q8" s="16" t="n"/>
      <c r="R8" s="15" t="n"/>
      <c r="S8" s="15" t="n"/>
      <c r="T8" s="15" t="n"/>
      <c r="U8" s="15" t="n"/>
      <c r="V8" s="15" t="n"/>
      <c r="W8" s="16" t="n"/>
      <c r="X8" s="16" t="n"/>
      <c r="Y8" s="15" t="n"/>
      <c r="Z8" s="15" t="n"/>
      <c r="AA8" s="15" t="n"/>
      <c r="AB8" s="15" t="n"/>
      <c r="AC8" s="15" t="n"/>
      <c r="AD8" s="16" t="n"/>
      <c r="AE8" s="16" t="n"/>
      <c r="AF8" s="15" t="n"/>
      <c r="AG8" s="15" t="n"/>
      <c r="AH8" s="18">
        <f>SUM(D8:AG8)</f>
        <v/>
      </c>
      <c r="AI8" s="14" t="n"/>
      <c r="AJ8" s="18">
        <f>AI8-AH8</f>
        <v/>
      </c>
      <c r="AK8" s="14" t="n"/>
      <c r="AL8" s="14" t="n"/>
      <c r="AM8" s="14" t="n"/>
    </row>
    <row r="9" ht="17.1" customHeight="1">
      <c r="A9" s="13" t="inlineStr">
        <is>
          <t>BUTTINELLI GIORGIA</t>
        </is>
      </c>
      <c r="B9" s="14" t="inlineStr">
        <is>
          <t>BTTGRG97S59G274Q</t>
        </is>
      </c>
      <c r="C9" s="13" t="inlineStr">
        <is>
          <t>Big Data - Tecninf - Fondoconoscenza</t>
        </is>
      </c>
      <c r="D9" s="15" t="n"/>
      <c r="E9" s="15" t="n"/>
      <c r="F9" s="15" t="n"/>
      <c r="G9" s="15" t="n"/>
      <c r="H9" s="15" t="n"/>
      <c r="I9" s="16" t="n"/>
      <c r="J9" s="16" t="n"/>
      <c r="K9" s="15" t="n"/>
      <c r="L9" s="15" t="n"/>
      <c r="M9" s="15" t="n"/>
      <c r="N9" s="15" t="n"/>
      <c r="O9" s="15" t="n"/>
      <c r="P9" s="16" t="n"/>
      <c r="Q9" s="16" t="n"/>
      <c r="R9" s="15" t="n"/>
      <c r="S9" s="15" t="n"/>
      <c r="T9" s="15" t="n"/>
      <c r="U9" s="15" t="n"/>
      <c r="V9" s="15" t="n"/>
      <c r="W9" s="16" t="n"/>
      <c r="X9" s="16" t="n"/>
      <c r="Y9" s="15" t="n"/>
      <c r="Z9" s="15" t="n"/>
      <c r="AA9" s="17" t="n">
        <v>0.02520833333333333</v>
      </c>
      <c r="AB9" s="15" t="n"/>
      <c r="AC9" s="15" t="n"/>
      <c r="AD9" s="16" t="n"/>
      <c r="AE9" s="16" t="n"/>
      <c r="AF9" s="15" t="n"/>
      <c r="AG9" s="15" t="n"/>
      <c r="AH9" s="18">
        <f>SUM(D9:AG9)</f>
        <v/>
      </c>
      <c r="AI9" s="18" t="n">
        <v>0.02520833333333333</v>
      </c>
      <c r="AJ9" s="18">
        <f>AI9-AH9</f>
        <v/>
      </c>
      <c r="AK9" s="14" t="n"/>
      <c r="AL9" s="14" t="n"/>
      <c r="AM9" s="14" t="n"/>
    </row>
    <row r="10" ht="17.1" customHeight="1">
      <c r="A10" s="13" t="inlineStr">
        <is>
          <t>CARABLUT VICTOR</t>
        </is>
      </c>
      <c r="B10" s="14" t="inlineStr">
        <is>
          <t>CRBVTR94A11Z140B</t>
        </is>
      </c>
      <c r="C10" s="13" t="inlineStr">
        <is>
          <t>Sicurezza Informatica - Tecninf - Fondoconoscenza</t>
        </is>
      </c>
      <c r="D10" s="15" t="n"/>
      <c r="E10" s="15" t="n"/>
      <c r="F10" s="15" t="n"/>
      <c r="G10" s="15" t="n"/>
      <c r="H10" s="15" t="n"/>
      <c r="I10" s="16" t="n"/>
      <c r="J10" s="16" t="n"/>
      <c r="K10" s="15" t="n"/>
      <c r="L10" s="15" t="n"/>
      <c r="M10" s="15" t="n"/>
      <c r="N10" s="15" t="n"/>
      <c r="O10" s="15" t="n"/>
      <c r="P10" s="16" t="n"/>
      <c r="Q10" s="16" t="n"/>
      <c r="R10" s="15" t="n"/>
      <c r="S10" s="15" t="n"/>
      <c r="T10" s="15" t="n"/>
      <c r="U10" s="15" t="n"/>
      <c r="V10" s="15" t="n"/>
      <c r="W10" s="16" t="n"/>
      <c r="X10" s="16" t="n"/>
      <c r="Y10" s="15" t="n"/>
      <c r="Z10" s="15" t="n"/>
      <c r="AA10" s="15" t="n"/>
      <c r="AB10" s="15" t="n"/>
      <c r="AC10" s="15" t="n"/>
      <c r="AD10" s="16" t="n"/>
      <c r="AE10" s="16" t="n"/>
      <c r="AF10" s="15" t="n"/>
      <c r="AG10" s="15" t="n"/>
      <c r="AH10" s="18">
        <f>SUM(D10:AG10)</f>
        <v/>
      </c>
      <c r="AI10" s="14" t="n"/>
      <c r="AJ10" s="18">
        <f>AI10-AH10</f>
        <v/>
      </c>
      <c r="AK10" s="14" t="n"/>
      <c r="AL10" s="14" t="n"/>
      <c r="AM10" s="14" t="n"/>
    </row>
    <row r="11" ht="17.1" customHeight="1">
      <c r="A11" s="13" t="inlineStr">
        <is>
          <t>CECCONI ANTHONY</t>
        </is>
      </c>
      <c r="B11" s="14" t="inlineStr">
        <is>
          <t>CCCNHN91D19H501W</t>
        </is>
      </c>
      <c r="C11" s="13" t="inlineStr">
        <is>
          <t>La programmazione - Tecninf - Fondoconoscenza</t>
        </is>
      </c>
      <c r="D11" s="15" t="n"/>
      <c r="E11" s="15" t="n"/>
      <c r="F11" s="15" t="n"/>
      <c r="G11" s="17" t="n">
        <v>0.07902777777777778</v>
      </c>
      <c r="H11" s="17" t="n">
        <v>0.01759259259259259</v>
      </c>
      <c r="I11" s="16" t="n"/>
      <c r="J11" s="16" t="n"/>
      <c r="K11" s="15" t="n"/>
      <c r="L11" s="15" t="n"/>
      <c r="M11" s="15" t="n"/>
      <c r="N11" s="19" t="n">
        <v>0.03570601851851852</v>
      </c>
      <c r="O11" s="17" t="n">
        <v>0.05878472222222222</v>
      </c>
      <c r="P11" s="16" t="n"/>
      <c r="Q11" s="16" t="n"/>
      <c r="R11" s="15" t="n"/>
      <c r="S11" s="17" t="n">
        <v>0.08473379629629629</v>
      </c>
      <c r="T11" s="15" t="n"/>
      <c r="U11" s="15" t="n"/>
      <c r="V11" s="15" t="n"/>
      <c r="W11" s="16" t="n"/>
      <c r="X11" s="16" t="n"/>
      <c r="Y11" s="15" t="n"/>
      <c r="Z11" s="15" t="n"/>
      <c r="AA11" s="17" t="n">
        <v>0.041875</v>
      </c>
      <c r="AB11" s="15" t="n"/>
      <c r="AC11" s="15" t="n"/>
      <c r="AD11" s="16" t="n"/>
      <c r="AE11" s="16" t="n"/>
      <c r="AF11" s="15" t="n"/>
      <c r="AG11" s="15" t="n"/>
      <c r="AH11" s="18">
        <f>SUM(D11:AG11)</f>
        <v/>
      </c>
      <c r="AI11" s="18" t="n">
        <v>0.3209953703703703</v>
      </c>
      <c r="AJ11" s="18">
        <f>AI11-AH11</f>
        <v/>
      </c>
      <c r="AK11" s="14" t="n"/>
      <c r="AL11" s="18" t="n">
        <v>0.003275462962962963</v>
      </c>
      <c r="AM11" s="14" t="n"/>
    </row>
    <row r="12" ht="17.1" customHeight="1">
      <c r="A12" s="13" t="inlineStr">
        <is>
          <t>CHIARA GOBBI MARIA</t>
        </is>
      </c>
      <c r="B12" s="14" t="inlineStr">
        <is>
          <t>GBBMCH73R57H501G</t>
        </is>
      </c>
      <c r="C12" s="13" t="inlineStr">
        <is>
          <t>L'ufficio digitale - Tecninf - Fondoconoscenza</t>
        </is>
      </c>
      <c r="D12" s="15" t="n"/>
      <c r="E12" s="15" t="n"/>
      <c r="F12" s="15" t="n"/>
      <c r="G12" s="15" t="n"/>
      <c r="H12" s="15" t="n"/>
      <c r="I12" s="16" t="n"/>
      <c r="J12" s="16" t="n"/>
      <c r="K12" s="15" t="n"/>
      <c r="L12" s="15" t="n"/>
      <c r="M12" s="15" t="n"/>
      <c r="N12" s="17" t="n">
        <v>0.006898148148148148</v>
      </c>
      <c r="O12" s="17" t="n">
        <v>0.1950462962962963</v>
      </c>
      <c r="P12" s="16" t="n"/>
      <c r="Q12" s="16" t="n"/>
      <c r="R12" s="15" t="n"/>
      <c r="S12" s="15" t="n"/>
      <c r="T12" s="17" t="n">
        <v>0.1533217592592593</v>
      </c>
      <c r="U12" s="15" t="n"/>
      <c r="V12" s="17" t="n">
        <v>0.1536574074074074</v>
      </c>
      <c r="W12" s="16" t="n"/>
      <c r="X12" s="16" t="n"/>
      <c r="Y12" s="15" t="n"/>
      <c r="Z12" s="17" t="n">
        <v>0.08858796296296297</v>
      </c>
      <c r="AA12" s="17" t="n">
        <v>0.2258449074074074</v>
      </c>
      <c r="AB12" s="17" t="n">
        <v>0.2058796296296296</v>
      </c>
      <c r="AC12" s="17" t="n">
        <v>0.2099189814814815</v>
      </c>
      <c r="AD12" s="16" t="n"/>
      <c r="AE12" s="16" t="n"/>
      <c r="AF12" s="15" t="n"/>
      <c r="AG12" s="15" t="n"/>
      <c r="AH12" s="18">
        <f>SUM(D12:AG12)</f>
        <v/>
      </c>
      <c r="AI12" s="18" t="n">
        <v>1.239155092592592</v>
      </c>
      <c r="AJ12" s="18">
        <f>AI12-AH12</f>
        <v/>
      </c>
      <c r="AK12" s="14" t="n"/>
      <c r="AL12" s="14" t="n"/>
      <c r="AM12" s="14" t="n"/>
    </row>
    <row r="13" ht="17.1" customHeight="1">
      <c r="A13" s="13" t="inlineStr">
        <is>
          <t>LIMETTI ION</t>
        </is>
      </c>
      <c r="B13" s="14" t="inlineStr">
        <is>
          <t>LMTNIO94M03Z129S</t>
        </is>
      </c>
      <c r="C13" s="13" t="inlineStr">
        <is>
          <t>Big Data - Tecninf - Fondoconoscenza</t>
        </is>
      </c>
      <c r="D13" s="15" t="n"/>
      <c r="E13" s="15" t="n"/>
      <c r="F13" s="19" t="n">
        <v>0.2704745370370371</v>
      </c>
      <c r="G13" s="17" t="n">
        <v>0.2598611111111111</v>
      </c>
      <c r="H13" s="17" t="n">
        <v>0.1731018518518518</v>
      </c>
      <c r="I13" s="16" t="n"/>
      <c r="J13" s="16" t="n"/>
      <c r="K13" s="15" t="n"/>
      <c r="L13" s="15" t="n"/>
      <c r="M13" s="17" t="n">
        <v>0.1284027777777778</v>
      </c>
      <c r="N13" s="15" t="n"/>
      <c r="O13" s="15" t="n"/>
      <c r="P13" s="16" t="n"/>
      <c r="Q13" s="16" t="n"/>
      <c r="R13" s="17" t="n">
        <v>0.1450578703703704</v>
      </c>
      <c r="S13" s="17" t="n">
        <v>0.1634143518518519</v>
      </c>
      <c r="T13" s="17" t="n">
        <v>0.1273611111111111</v>
      </c>
      <c r="U13" s="19" t="n">
        <v>0.1214814814814815</v>
      </c>
      <c r="V13" s="17" t="n">
        <v>0.1784953703703704</v>
      </c>
      <c r="W13" s="16" t="n"/>
      <c r="X13" s="16" t="n"/>
      <c r="Y13" s="15" t="n"/>
      <c r="Z13" s="17" t="n">
        <v>0.114837962962963</v>
      </c>
      <c r="AA13" s="17" t="n">
        <v>0.05453703703703704</v>
      </c>
      <c r="AB13" s="17" t="n">
        <v>0.05239583333333334</v>
      </c>
      <c r="AC13" s="17" t="n">
        <v>0.08074074074074074</v>
      </c>
      <c r="AD13" s="16" t="n"/>
      <c r="AE13" s="16" t="n"/>
      <c r="AF13" s="15" t="n"/>
      <c r="AG13" s="17" t="n">
        <v>0.1537731481481482</v>
      </c>
      <c r="AH13" s="18">
        <f>SUM(D13:AG13)</f>
        <v/>
      </c>
      <c r="AI13" s="18" t="n">
        <v>2.028761574074074</v>
      </c>
      <c r="AJ13" s="18">
        <f>AI13-AH13</f>
        <v/>
      </c>
      <c r="AK13" s="14" t="n"/>
      <c r="AL13" s="18" t="n">
        <v>0.004826388888888889</v>
      </c>
      <c r="AM13" s="14" t="n"/>
    </row>
    <row r="14" ht="17.1" customHeight="1">
      <c r="A14" s="13" t="inlineStr">
        <is>
          <t>LUCA' VERONICA</t>
        </is>
      </c>
      <c r="B14" s="14" t="inlineStr">
        <is>
          <t>LCUVNC85L52D976T</t>
        </is>
      </c>
      <c r="C14" s="13" t="inlineStr">
        <is>
          <t>Big Data - Tecninf - Fondoconoscenza</t>
        </is>
      </c>
      <c r="D14" s="17" t="n">
        <v>0.08332175925925926</v>
      </c>
      <c r="E14" s="15" t="n"/>
      <c r="F14" s="17" t="n">
        <v>0.05770833333333333</v>
      </c>
      <c r="G14" s="17" t="n">
        <v>0.01642361111111111</v>
      </c>
      <c r="H14" s="19" t="n">
        <v>0.04466435185185185</v>
      </c>
      <c r="I14" s="16" t="n"/>
      <c r="J14" s="16" t="n"/>
      <c r="K14" s="17" t="n">
        <v>0.005219907407407407</v>
      </c>
      <c r="L14" s="17" t="n">
        <v>0.0215162037037037</v>
      </c>
      <c r="M14" s="17" t="n">
        <v>0.1206481481481481</v>
      </c>
      <c r="N14" s="19" t="n">
        <v>0.1398842592592593</v>
      </c>
      <c r="O14" s="17" t="n">
        <v>0.01984953703703704</v>
      </c>
      <c r="P14" s="16" t="n"/>
      <c r="Q14" s="16" t="n"/>
      <c r="R14" s="19" t="n">
        <v>0.09405092592592593</v>
      </c>
      <c r="S14" s="19" t="n">
        <v>0.1248726851851852</v>
      </c>
      <c r="T14" s="15" t="n"/>
      <c r="U14" s="15" t="n"/>
      <c r="V14" s="15" t="n"/>
      <c r="W14" s="16" t="n"/>
      <c r="X14" s="16" t="n"/>
      <c r="Y14" s="15" t="n"/>
      <c r="Z14" s="15" t="n"/>
      <c r="AA14" s="15" t="n"/>
      <c r="AB14" s="15" t="n"/>
      <c r="AC14" s="15" t="n"/>
      <c r="AD14" s="16" t="n"/>
      <c r="AE14" s="16" t="n"/>
      <c r="AF14" s="15" t="n"/>
      <c r="AG14" s="15" t="n"/>
      <c r="AH14" s="18">
        <f>SUM(D14:AG14)</f>
        <v/>
      </c>
      <c r="AI14" s="18" t="n">
        <v>0.811875</v>
      </c>
      <c r="AJ14" s="18">
        <f>AI14-AH14</f>
        <v/>
      </c>
      <c r="AK14" s="14" t="n"/>
      <c r="AL14" s="18" t="n">
        <v>0.08371527777777778</v>
      </c>
      <c r="AM14" s="14" t="n"/>
    </row>
    <row r="15" ht="17.1" customHeight="1">
      <c r="A15" s="13" t="inlineStr">
        <is>
          <t>MAGNANINI LORENZO</t>
        </is>
      </c>
      <c r="B15" s="14" t="inlineStr">
        <is>
          <t>MGNLNZ97M04H501T</t>
        </is>
      </c>
      <c r="C15" s="13" t="inlineStr">
        <is>
          <t>La programmazione - Tecninf - Fondoconoscenza</t>
        </is>
      </c>
      <c r="D15" s="15" t="n"/>
      <c r="E15" s="15" t="n"/>
      <c r="F15" s="15" t="n"/>
      <c r="G15" s="15" t="n"/>
      <c r="H15" s="15" t="n"/>
      <c r="I15" s="16" t="n"/>
      <c r="J15" s="16" t="n"/>
      <c r="K15" s="15" t="n"/>
      <c r="L15" s="15" t="n"/>
      <c r="M15" s="15" t="n"/>
      <c r="N15" s="15" t="n"/>
      <c r="O15" s="15" t="n"/>
      <c r="P15" s="16" t="n"/>
      <c r="Q15" s="16" t="n"/>
      <c r="R15" s="15" t="n"/>
      <c r="S15" s="15" t="n"/>
      <c r="T15" s="15" t="n"/>
      <c r="U15" s="15" t="n"/>
      <c r="V15" s="15" t="n"/>
      <c r="W15" s="16" t="n"/>
      <c r="X15" s="16" t="n"/>
      <c r="Y15" s="15" t="n"/>
      <c r="Z15" s="15" t="n"/>
      <c r="AA15" s="15" t="n"/>
      <c r="AB15" s="15" t="n"/>
      <c r="AC15" s="15" t="n"/>
      <c r="AD15" s="16" t="n"/>
      <c r="AE15" s="16" t="n"/>
      <c r="AF15" s="15" t="n"/>
      <c r="AG15" s="15" t="n"/>
      <c r="AH15" s="18">
        <f>SUM(D15:AG15)</f>
        <v/>
      </c>
      <c r="AI15" s="14" t="n"/>
      <c r="AJ15" s="18">
        <f>AI15-AH15</f>
        <v/>
      </c>
      <c r="AK15" s="14" t="n"/>
      <c r="AL15" s="14" t="n"/>
      <c r="AM15" s="14" t="n"/>
    </row>
    <row r="16" ht="17.1" customHeight="1">
      <c r="A16" s="13" t="inlineStr">
        <is>
          <t>MARIANI ALESSIA</t>
        </is>
      </c>
      <c r="B16" s="14" t="inlineStr">
        <is>
          <t>MRNLSS75L68H501L</t>
        </is>
      </c>
      <c r="C16" s="13" t="inlineStr">
        <is>
          <t>Big Data - Tecninf - Fondoconoscenza</t>
        </is>
      </c>
      <c r="D16" s="15" t="n"/>
      <c r="E16" s="15" t="n"/>
      <c r="F16" s="17" t="n">
        <v>0.04509259259259259</v>
      </c>
      <c r="G16" s="17" t="n">
        <v>0.08824074074074074</v>
      </c>
      <c r="H16" s="17" t="n">
        <v>0.1594675925925926</v>
      </c>
      <c r="I16" s="16" t="n"/>
      <c r="J16" s="16" t="n"/>
      <c r="K16" s="17" t="n">
        <v>0.2158796296296296</v>
      </c>
      <c r="L16" s="17" t="n">
        <v>0.1278125</v>
      </c>
      <c r="M16" s="15" t="n"/>
      <c r="N16" s="15" t="n"/>
      <c r="O16" s="15" t="n"/>
      <c r="P16" s="16" t="n"/>
      <c r="Q16" s="16" t="n"/>
      <c r="R16" s="17" t="n">
        <v>0.07283564814814815</v>
      </c>
      <c r="S16" s="15" t="n"/>
      <c r="T16" s="17" t="n">
        <v>0.03219907407407407</v>
      </c>
      <c r="U16" s="15" t="n"/>
      <c r="V16" s="15" t="n"/>
      <c r="W16" s="16" t="n"/>
      <c r="X16" s="16" t="n"/>
      <c r="Y16" s="15" t="n"/>
      <c r="Z16" s="15" t="n"/>
      <c r="AA16" s="15" t="n"/>
      <c r="AB16" s="15" t="n"/>
      <c r="AC16" s="15" t="n"/>
      <c r="AD16" s="16" t="n"/>
      <c r="AE16" s="16" t="n"/>
      <c r="AF16" s="15" t="n"/>
      <c r="AG16" s="15" t="n"/>
      <c r="AH16" s="18">
        <f>SUM(D16:AG16)</f>
        <v/>
      </c>
      <c r="AI16" s="18" t="n">
        <v>0.7415277777777778</v>
      </c>
      <c r="AJ16" s="18">
        <f>AI16-AH16</f>
        <v/>
      </c>
      <c r="AK16" s="14" t="n"/>
      <c r="AL16" s="14" t="n"/>
      <c r="AM16" s="14" t="n"/>
    </row>
    <row r="17" ht="17.1" customHeight="1">
      <c r="A17" s="13" t="inlineStr">
        <is>
          <t>MASCELLINO GIULIO</t>
        </is>
      </c>
      <c r="B17" s="14" t="inlineStr">
        <is>
          <t>MSCGLI83C04G511L</t>
        </is>
      </c>
      <c r="C17" s="13" t="inlineStr">
        <is>
          <t>Big Data - Tecninf - Fondoconoscenza</t>
        </is>
      </c>
      <c r="D17" s="15" t="n"/>
      <c r="E17" s="15" t="n"/>
      <c r="F17" s="15" t="n"/>
      <c r="G17" s="15" t="n"/>
      <c r="H17" s="15" t="n"/>
      <c r="I17" s="16" t="n"/>
      <c r="J17" s="16" t="n"/>
      <c r="K17" s="15" t="n"/>
      <c r="L17" s="15" t="n"/>
      <c r="M17" s="15" t="n"/>
      <c r="N17" s="15" t="n"/>
      <c r="O17" s="15" t="n"/>
      <c r="P17" s="16" t="n"/>
      <c r="Q17" s="16" t="n"/>
      <c r="R17" s="15" t="n"/>
      <c r="S17" s="15" t="n"/>
      <c r="T17" s="15" t="n"/>
      <c r="U17" s="15" t="n"/>
      <c r="V17" s="15" t="n"/>
      <c r="W17" s="16" t="n"/>
      <c r="X17" s="16" t="n"/>
      <c r="Y17" s="15" t="n"/>
      <c r="Z17" s="15" t="n"/>
      <c r="AA17" s="15" t="n"/>
      <c r="AB17" s="15" t="n"/>
      <c r="AC17" s="15" t="n"/>
      <c r="AD17" s="16" t="n"/>
      <c r="AE17" s="16" t="n"/>
      <c r="AF17" s="15" t="n"/>
      <c r="AG17" s="15" t="n"/>
      <c r="AH17" s="18">
        <f>SUM(D17:AG17)</f>
        <v/>
      </c>
      <c r="AI17" s="14" t="n"/>
      <c r="AJ17" s="18">
        <f>AI17-AH17</f>
        <v/>
      </c>
      <c r="AK17" s="14" t="n"/>
      <c r="AL17" s="14" t="n"/>
      <c r="AM17" s="14" t="n"/>
    </row>
    <row r="18" ht="17.1" customHeight="1">
      <c r="A18" s="13" t="inlineStr">
        <is>
          <t>PACPACO MICHAEL DEPOLLY</t>
        </is>
      </c>
      <c r="B18" s="14" t="inlineStr">
        <is>
          <t>PCPMHL00R03H501G</t>
        </is>
      </c>
      <c r="C18" s="13" t="inlineStr">
        <is>
          <t>La programmazione - Tecninf - Fondoconoscenza</t>
        </is>
      </c>
      <c r="D18" s="15" t="n"/>
      <c r="E18" s="15" t="n"/>
      <c r="F18" s="15" t="n"/>
      <c r="G18" s="15" t="n"/>
      <c r="H18" s="15" t="n"/>
      <c r="I18" s="16" t="n"/>
      <c r="J18" s="16" t="n"/>
      <c r="K18" s="15" t="n"/>
      <c r="L18" s="15" t="n"/>
      <c r="M18" s="15" t="n"/>
      <c r="N18" s="15" t="n"/>
      <c r="O18" s="15" t="n"/>
      <c r="P18" s="16" t="n"/>
      <c r="Q18" s="16" t="n"/>
      <c r="R18" s="15" t="n"/>
      <c r="S18" s="15" t="n"/>
      <c r="T18" s="15" t="n"/>
      <c r="U18" s="15" t="n"/>
      <c r="V18" s="15" t="n"/>
      <c r="W18" s="16" t="n"/>
      <c r="X18" s="16" t="n"/>
      <c r="Y18" s="17" t="n">
        <v>0.08996527777777778</v>
      </c>
      <c r="Z18" s="15" t="n"/>
      <c r="AA18" s="15" t="n"/>
      <c r="AB18" s="15" t="n"/>
      <c r="AC18" s="15" t="n"/>
      <c r="AD18" s="16" t="n"/>
      <c r="AE18" s="16" t="n"/>
      <c r="AF18" s="15" t="n"/>
      <c r="AG18" s="15" t="n"/>
      <c r="AH18" s="18">
        <f>SUM(D18:AG18)</f>
        <v/>
      </c>
      <c r="AI18" s="18" t="n">
        <v>0.08996527777777778</v>
      </c>
      <c r="AJ18" s="18">
        <f>AI18-AH18</f>
        <v/>
      </c>
      <c r="AK18" s="14" t="n"/>
      <c r="AL18" s="14" t="n"/>
      <c r="AM18" s="14" t="n"/>
    </row>
    <row r="19" ht="17.1" customHeight="1">
      <c r="A19" s="13" t="inlineStr">
        <is>
          <t>PASSIO ROBERTA</t>
        </is>
      </c>
      <c r="B19" s="14" t="inlineStr">
        <is>
          <t>PSSRRT76L56H501O</t>
        </is>
      </c>
      <c r="C19" s="13" t="inlineStr">
        <is>
          <t>Sicurezza Informatica - Tecninf - Fondoconoscenza</t>
        </is>
      </c>
      <c r="D19" s="15" t="n"/>
      <c r="E19" s="15" t="n"/>
      <c r="F19" s="15" t="n"/>
      <c r="G19" s="15" t="n"/>
      <c r="H19" s="15" t="n"/>
      <c r="I19" s="16" t="n"/>
      <c r="J19" s="16" t="n"/>
      <c r="K19" s="15" t="n"/>
      <c r="L19" s="15" t="n"/>
      <c r="M19" s="15" t="n"/>
      <c r="N19" s="15" t="n"/>
      <c r="O19" s="17" t="n">
        <v>0.1509375</v>
      </c>
      <c r="P19" s="16" t="n"/>
      <c r="Q19" s="16" t="n"/>
      <c r="R19" s="17" t="n">
        <v>0.1736226851851852</v>
      </c>
      <c r="S19" s="17" t="n">
        <v>0.2043287037037037</v>
      </c>
      <c r="T19" s="15" t="n"/>
      <c r="U19" s="17" t="n">
        <v>0.1928240740740741</v>
      </c>
      <c r="V19" s="17" t="n">
        <v>0.1947106481481481</v>
      </c>
      <c r="W19" s="16" t="n"/>
      <c r="X19" s="16" t="n"/>
      <c r="Y19" s="17" t="n">
        <v>0.1652777777777778</v>
      </c>
      <c r="Z19" s="15" t="n"/>
      <c r="AA19" s="17" t="n">
        <v>0.1948263888888889</v>
      </c>
      <c r="AB19" s="17" t="n">
        <v>0.1694675925925926</v>
      </c>
      <c r="AC19" s="17" t="n">
        <v>0.1272800925925926</v>
      </c>
      <c r="AD19" s="16" t="n"/>
      <c r="AE19" s="16" t="n"/>
      <c r="AF19" s="15" t="n"/>
      <c r="AG19" s="15" t="n"/>
      <c r="AH19" s="18">
        <f>SUM(D19:AG19)</f>
        <v/>
      </c>
      <c r="AI19" s="18" t="n">
        <v>1.573275462962963</v>
      </c>
      <c r="AJ19" s="18">
        <f>AI19-AH19</f>
        <v/>
      </c>
      <c r="AK19" s="14" t="n"/>
      <c r="AL19" s="14" t="n"/>
      <c r="AM19" s="14" t="n"/>
    </row>
    <row r="20" ht="17.1" customHeight="1">
      <c r="A20" s="13" t="inlineStr">
        <is>
          <t>PERILLA GIAN LEO GAMES</t>
        </is>
      </c>
      <c r="B20" s="14" t="inlineStr">
        <is>
          <t>PRLGLG98M18H501X</t>
        </is>
      </c>
      <c r="C20" s="13" t="inlineStr">
        <is>
          <t>Big Data - Tecninf - Fondoconoscenza</t>
        </is>
      </c>
      <c r="D20" s="15" t="n"/>
      <c r="E20" s="15" t="n"/>
      <c r="F20" s="15" t="n"/>
      <c r="G20" s="15" t="n"/>
      <c r="H20" s="15" t="n"/>
      <c r="I20" s="16" t="n"/>
      <c r="J20" s="16" t="n"/>
      <c r="K20" s="15" t="n"/>
      <c r="L20" s="15" t="n"/>
      <c r="M20" s="15" t="n"/>
      <c r="N20" s="15" t="n"/>
      <c r="O20" s="15" t="n"/>
      <c r="P20" s="16" t="n"/>
      <c r="Q20" s="16" t="n"/>
      <c r="R20" s="15" t="n"/>
      <c r="S20" s="15" t="n"/>
      <c r="T20" s="15" t="n"/>
      <c r="U20" s="15" t="n"/>
      <c r="V20" s="15" t="n"/>
      <c r="W20" s="16" t="n"/>
      <c r="X20" s="16" t="n"/>
      <c r="Y20" s="15" t="n"/>
      <c r="Z20" s="15" t="n"/>
      <c r="AA20" s="15" t="n"/>
      <c r="AB20" s="15" t="n"/>
      <c r="AC20" s="15" t="n"/>
      <c r="AD20" s="16" t="n"/>
      <c r="AE20" s="16" t="n"/>
      <c r="AF20" s="15" t="n"/>
      <c r="AG20" s="15" t="n"/>
      <c r="AH20" s="18">
        <f>SUM(D20:AG20)</f>
        <v/>
      </c>
      <c r="AI20" s="14" t="n"/>
      <c r="AJ20" s="18">
        <f>AI20-AH20</f>
        <v/>
      </c>
      <c r="AK20" s="14" t="n"/>
      <c r="AL20" s="14" t="n"/>
      <c r="AM20" s="14" t="n"/>
    </row>
    <row r="21" ht="17.1" customHeight="1">
      <c r="A21" s="13" t="inlineStr">
        <is>
          <t>PINNA ROBERTO CAO</t>
        </is>
      </c>
      <c r="B21" s="14" t="inlineStr">
        <is>
          <t>CPNRRT66D27H501V</t>
        </is>
      </c>
      <c r="C21" s="13" t="inlineStr">
        <is>
          <t>Project Management per il digitale - Tecninf - Fondoconoscenza</t>
        </is>
      </c>
      <c r="D21" s="15" t="n"/>
      <c r="E21" s="15" t="n"/>
      <c r="F21" s="15" t="n"/>
      <c r="G21" s="15" t="n"/>
      <c r="H21" s="15" t="n"/>
      <c r="I21" s="16" t="n"/>
      <c r="J21" s="16" t="n"/>
      <c r="K21" s="15" t="n"/>
      <c r="L21" s="15" t="n"/>
      <c r="M21" s="15" t="n"/>
      <c r="N21" s="15" t="n"/>
      <c r="O21" s="15" t="n"/>
      <c r="P21" s="16" t="n"/>
      <c r="Q21" s="16" t="n"/>
      <c r="R21" s="15" t="n"/>
      <c r="S21" s="15" t="n"/>
      <c r="T21" s="15" t="n"/>
      <c r="U21" s="15" t="n"/>
      <c r="V21" s="15" t="n"/>
      <c r="W21" s="16" t="n"/>
      <c r="X21" s="16" t="n"/>
      <c r="Y21" s="15" t="n"/>
      <c r="Z21" s="15" t="n"/>
      <c r="AA21" s="15" t="n"/>
      <c r="AB21" s="15" t="n"/>
      <c r="AC21" s="15" t="n"/>
      <c r="AD21" s="16" t="n"/>
      <c r="AE21" s="16" t="n"/>
      <c r="AF21" s="15" t="n"/>
      <c r="AG21" s="15" t="n"/>
      <c r="AH21" s="18">
        <f>SUM(D21:AG21)</f>
        <v/>
      </c>
      <c r="AI21" s="14" t="n"/>
      <c r="AJ21" s="18">
        <f>AI21-AH21</f>
        <v/>
      </c>
      <c r="AK21" s="14" t="n"/>
      <c r="AL21" s="14" t="n"/>
      <c r="AM21" s="14" t="n"/>
    </row>
    <row r="22" ht="17.1" customHeight="1">
      <c r="A22" s="13" t="inlineStr">
        <is>
          <t>POGGI ROBERTO</t>
        </is>
      </c>
      <c r="B22" s="14" t="inlineStr">
        <is>
          <t>PGGRRT91H07F839Q</t>
        </is>
      </c>
      <c r="C22" s="13" t="inlineStr">
        <is>
          <t>Big Data - Tecninf - Fondoconoscenza</t>
        </is>
      </c>
      <c r="D22" s="15" t="n"/>
      <c r="E22" s="15" t="n"/>
      <c r="F22" s="15" t="n"/>
      <c r="G22" s="15" t="n"/>
      <c r="H22" s="15" t="n"/>
      <c r="I22" s="16" t="n"/>
      <c r="J22" s="16" t="n"/>
      <c r="K22" s="15" t="n"/>
      <c r="L22" s="15" t="n"/>
      <c r="M22" s="15" t="n"/>
      <c r="N22" s="15" t="n"/>
      <c r="O22" s="15" t="n"/>
      <c r="P22" s="16" t="n"/>
      <c r="Q22" s="16" t="n"/>
      <c r="R22" s="15" t="n"/>
      <c r="S22" s="15" t="n"/>
      <c r="T22" s="15" t="n"/>
      <c r="U22" s="15" t="n"/>
      <c r="V22" s="15" t="n"/>
      <c r="W22" s="16" t="n"/>
      <c r="X22" s="16" t="n"/>
      <c r="Y22" s="15" t="n"/>
      <c r="Z22" s="15" t="n"/>
      <c r="AA22" s="15" t="n"/>
      <c r="AB22" s="15" t="n"/>
      <c r="AC22" s="15" t="n"/>
      <c r="AD22" s="16" t="n"/>
      <c r="AE22" s="16" t="n"/>
      <c r="AF22" s="15" t="n"/>
      <c r="AG22" s="15" t="n"/>
      <c r="AH22" s="18">
        <f>SUM(D22:AG22)</f>
        <v/>
      </c>
      <c r="AI22" s="14" t="n"/>
      <c r="AJ22" s="18">
        <f>AI22-AH22</f>
        <v/>
      </c>
      <c r="AK22" s="14" t="n"/>
      <c r="AL22" s="14" t="n"/>
      <c r="AM22" s="14" t="n"/>
    </row>
    <row r="23" ht="17.1" customHeight="1">
      <c r="A23" s="13" t="inlineStr">
        <is>
          <t>PRASAD RAKESH KUMAR</t>
        </is>
      </c>
      <c r="B23" s="14" t="inlineStr">
        <is>
          <t>PRSRSH87S19H501S</t>
        </is>
      </c>
      <c r="C23" s="13" t="inlineStr">
        <is>
          <t>Sicurezza Informatica - Tecninf - Fondoconoscenza</t>
        </is>
      </c>
      <c r="D23" s="15" t="n"/>
      <c r="E23" s="15" t="n"/>
      <c r="F23" s="15" t="n"/>
      <c r="G23" s="15" t="n"/>
      <c r="H23" s="15" t="n"/>
      <c r="I23" s="16" t="n"/>
      <c r="J23" s="16" t="n"/>
      <c r="K23" s="15" t="n"/>
      <c r="L23" s="15" t="n"/>
      <c r="M23" s="15" t="n"/>
      <c r="N23" s="15" t="n"/>
      <c r="O23" s="15" t="n"/>
      <c r="P23" s="16" t="n"/>
      <c r="Q23" s="16" t="n"/>
      <c r="R23" s="15" t="n"/>
      <c r="S23" s="15" t="n"/>
      <c r="T23" s="15" t="n"/>
      <c r="U23" s="15" t="n"/>
      <c r="V23" s="15" t="n"/>
      <c r="W23" s="16" t="n"/>
      <c r="X23" s="16" t="n"/>
      <c r="Y23" s="15" t="n"/>
      <c r="Z23" s="15" t="n"/>
      <c r="AA23" s="15" t="n"/>
      <c r="AB23" s="15" t="n"/>
      <c r="AC23" s="15" t="n"/>
      <c r="AD23" s="16" t="n"/>
      <c r="AE23" s="16" t="n"/>
      <c r="AF23" s="15" t="n"/>
      <c r="AG23" s="15" t="n"/>
      <c r="AH23" s="18">
        <f>SUM(D23:AG23)</f>
        <v/>
      </c>
      <c r="AI23" s="14" t="n"/>
      <c r="AJ23" s="18">
        <f>AI23-AH23</f>
        <v/>
      </c>
      <c r="AK23" s="14" t="n"/>
      <c r="AL23" s="14" t="n"/>
      <c r="AM23" s="14" t="n"/>
    </row>
    <row r="24" ht="17.1" customHeight="1">
      <c r="A24" s="13" t="inlineStr">
        <is>
          <t>PUDDU RAIMONDO</t>
        </is>
      </c>
      <c r="B24" s="14" t="inlineStr">
        <is>
          <t>PDDRND75R08H501S</t>
        </is>
      </c>
      <c r="C24" s="13" t="inlineStr">
        <is>
          <t>Big Data - Tecninf - Fondoconoscenza</t>
        </is>
      </c>
      <c r="D24" s="17" t="n">
        <v>0.03694444444444445</v>
      </c>
      <c r="E24" s="15" t="n"/>
      <c r="F24" s="15" t="n"/>
      <c r="G24" s="15" t="n"/>
      <c r="H24" s="15" t="n"/>
      <c r="I24" s="16" t="n"/>
      <c r="J24" s="16" t="n"/>
      <c r="K24" s="15" t="n"/>
      <c r="L24" s="15" t="n"/>
      <c r="M24" s="15" t="n"/>
      <c r="N24" s="15" t="n"/>
      <c r="O24" s="15" t="n"/>
      <c r="P24" s="16" t="n"/>
      <c r="Q24" s="16" t="n"/>
      <c r="R24" s="15" t="n"/>
      <c r="S24" s="15" t="n"/>
      <c r="T24" s="15" t="n"/>
      <c r="U24" s="15" t="n"/>
      <c r="V24" s="15" t="n"/>
      <c r="W24" s="16" t="n"/>
      <c r="X24" s="16" t="n"/>
      <c r="Y24" s="15" t="n"/>
      <c r="Z24" s="15" t="n"/>
      <c r="AA24" s="15" t="n"/>
      <c r="AB24" s="15" t="n"/>
      <c r="AC24" s="15" t="n"/>
      <c r="AD24" s="16" t="n"/>
      <c r="AE24" s="16" t="n"/>
      <c r="AF24" s="15" t="n"/>
      <c r="AG24" s="15" t="n"/>
      <c r="AH24" s="18">
        <f>SUM(D24:AG24)</f>
        <v/>
      </c>
      <c r="AI24" s="18" t="n">
        <v>0.03694444444444445</v>
      </c>
      <c r="AJ24" s="18">
        <f>AI24-AH24</f>
        <v/>
      </c>
      <c r="AK24" s="14" t="n"/>
      <c r="AL24" s="14" t="n"/>
      <c r="AM24" s="14" t="n"/>
    </row>
    <row r="25" ht="17.1" customHeight="1">
      <c r="A25" s="13" t="inlineStr">
        <is>
          <t>RANIERI FRANCESCO</t>
        </is>
      </c>
      <c r="B25" s="14" t="inlineStr">
        <is>
          <t>RNRFNC99L28H501B</t>
        </is>
      </c>
      <c r="C25" s="13" t="inlineStr">
        <is>
          <t>La programmazione - Tecninf - Fondoconoscenza</t>
        </is>
      </c>
      <c r="D25" s="15" t="n"/>
      <c r="E25" s="15" t="n"/>
      <c r="F25" s="17" t="n">
        <v>0.03541666666666667</v>
      </c>
      <c r="G25" s="15" t="n"/>
      <c r="H25" s="15" t="n"/>
      <c r="I25" s="16" t="n"/>
      <c r="J25" s="16" t="n"/>
      <c r="K25" s="17" t="n">
        <v>0.08689814814814815</v>
      </c>
      <c r="L25" s="15" t="n"/>
      <c r="M25" s="15" t="n"/>
      <c r="N25" s="15" t="n"/>
      <c r="O25" s="15" t="n"/>
      <c r="P25" s="16" t="n"/>
      <c r="Q25" s="16" t="n"/>
      <c r="R25" s="17" t="n">
        <v>0.0542824074074074</v>
      </c>
      <c r="S25" s="15" t="n"/>
      <c r="T25" s="15" t="n"/>
      <c r="U25" s="15" t="n"/>
      <c r="V25" s="15" t="n"/>
      <c r="W25" s="16" t="n"/>
      <c r="X25" s="16" t="n"/>
      <c r="Y25" s="15" t="n"/>
      <c r="Z25" s="15" t="n"/>
      <c r="AA25" s="15" t="n"/>
      <c r="AB25" s="15" t="n"/>
      <c r="AC25" s="15" t="n"/>
      <c r="AD25" s="16" t="n"/>
      <c r="AE25" s="16" t="n"/>
      <c r="AF25" s="15" t="n"/>
      <c r="AG25" s="15" t="n"/>
      <c r="AH25" s="18">
        <f>SUM(D25:AG25)</f>
        <v/>
      </c>
      <c r="AI25" s="18" t="n">
        <v>0.1765972222222222</v>
      </c>
      <c r="AJ25" s="18">
        <f>AI25-AH25</f>
        <v/>
      </c>
      <c r="AK25" s="14" t="n"/>
      <c r="AL25" s="14" t="n"/>
      <c r="AM25" s="14" t="n"/>
    </row>
    <row r="26" ht="17.1" customHeight="1">
      <c r="A26" s="13" t="inlineStr">
        <is>
          <t>ROSA JEREMY DELA</t>
        </is>
      </c>
      <c r="B26" s="14" t="inlineStr">
        <is>
          <t>DLRJMY02A20H501A</t>
        </is>
      </c>
      <c r="C26" s="13" t="inlineStr">
        <is>
          <t>Big Data - Tecninf - Fondoconoscenza</t>
        </is>
      </c>
      <c r="D26" s="15" t="n"/>
      <c r="E26" s="15" t="n"/>
      <c r="F26" s="17" t="n">
        <v>0.005034722222222223</v>
      </c>
      <c r="G26" s="15" t="n"/>
      <c r="H26" s="17" t="n">
        <v>0.02134259259259259</v>
      </c>
      <c r="I26" s="16" t="n"/>
      <c r="J26" s="16" t="n"/>
      <c r="K26" s="15" t="n"/>
      <c r="L26" s="15" t="n"/>
      <c r="M26" s="15" t="n"/>
      <c r="N26" s="15" t="n"/>
      <c r="O26" s="15" t="n"/>
      <c r="P26" s="16" t="n"/>
      <c r="Q26" s="16" t="n"/>
      <c r="R26" s="15" t="n"/>
      <c r="S26" s="15" t="n"/>
      <c r="T26" s="15" t="n"/>
      <c r="U26" s="15" t="n"/>
      <c r="V26" s="15" t="n"/>
      <c r="W26" s="16" t="n"/>
      <c r="X26" s="16" t="n"/>
      <c r="Y26" s="15" t="n"/>
      <c r="Z26" s="15" t="n"/>
      <c r="AA26" s="15" t="n"/>
      <c r="AB26" s="15" t="n"/>
      <c r="AC26" s="15" t="n"/>
      <c r="AD26" s="16" t="n"/>
      <c r="AE26" s="16" t="n"/>
      <c r="AF26" s="15" t="n"/>
      <c r="AG26" s="15" t="n"/>
      <c r="AH26" s="18">
        <f>SUM(D26:AG26)</f>
        <v/>
      </c>
      <c r="AI26" s="18" t="n">
        <v>0.02637731481481482</v>
      </c>
      <c r="AJ26" s="18">
        <f>AI26-AH26</f>
        <v/>
      </c>
      <c r="AK26" s="14" t="n"/>
      <c r="AL26" s="14" t="n"/>
      <c r="AM26" s="14" t="n"/>
    </row>
    <row r="27" ht="17.1" customHeight="1">
      <c r="A27" s="13" t="inlineStr">
        <is>
          <t>SALPIETRO GIANLUCA</t>
        </is>
      </c>
      <c r="B27" s="14" t="inlineStr">
        <is>
          <t>SLPGLC81B17G377J</t>
        </is>
      </c>
      <c r="C27" s="13" t="inlineStr">
        <is>
          <t>Big Data - Tecninf - Fondoconoscenza</t>
        </is>
      </c>
      <c r="D27" s="19" t="n">
        <v>0.1099421296296296</v>
      </c>
      <c r="E27" s="15" t="n"/>
      <c r="F27" s="15" t="n"/>
      <c r="G27" s="15" t="n"/>
      <c r="H27" s="19" t="n">
        <v>0.0430787037037037</v>
      </c>
      <c r="I27" s="16" t="n"/>
      <c r="J27" s="16" t="n"/>
      <c r="K27" s="15" t="n"/>
      <c r="L27" s="17" t="n">
        <v>0.07984953703703704</v>
      </c>
      <c r="M27" s="17" t="n">
        <v>0.09560185185185185</v>
      </c>
      <c r="N27" s="15" t="n"/>
      <c r="O27" s="15" t="n"/>
      <c r="P27" s="16" t="n"/>
      <c r="Q27" s="16" t="n"/>
      <c r="R27" s="15" t="n"/>
      <c r="S27" s="15" t="n"/>
      <c r="T27" s="15" t="n"/>
      <c r="U27" s="15" t="n"/>
      <c r="V27" s="17" t="n">
        <v>0.06820601851851851</v>
      </c>
      <c r="W27" s="16" t="n"/>
      <c r="X27" s="16" t="n"/>
      <c r="Y27" s="15" t="n"/>
      <c r="Z27" s="15" t="n"/>
      <c r="AA27" s="15" t="n"/>
      <c r="AB27" s="15" t="n"/>
      <c r="AC27" s="17" t="n">
        <v>0.1771296296296296</v>
      </c>
      <c r="AD27" s="16" t="n"/>
      <c r="AE27" s="16" t="n"/>
      <c r="AF27" s="15" t="n"/>
      <c r="AG27" s="17" t="n">
        <v>0.08841435185185186</v>
      </c>
      <c r="AH27" s="18">
        <f>SUM(D27:AG27)</f>
        <v/>
      </c>
      <c r="AI27" s="18" t="n">
        <v>0.6647453703703704</v>
      </c>
      <c r="AJ27" s="18">
        <f>AI27-AH27</f>
        <v/>
      </c>
      <c r="AK27" s="14" t="n"/>
      <c r="AL27" s="18" t="n">
        <v>0.002523148148148148</v>
      </c>
      <c r="AM27" s="14" t="n"/>
    </row>
    <row r="28" ht="17.1" customHeight="1">
      <c r="A28" s="13" t="inlineStr">
        <is>
          <t>SALVATI CARMINE</t>
        </is>
      </c>
      <c r="B28" s="14" t="inlineStr">
        <is>
          <t>SLVCMN80D14D086Z</t>
        </is>
      </c>
      <c r="C28" s="13" t="inlineStr">
        <is>
          <t>Big Data - Tecninf - Fondoconoscenza</t>
        </is>
      </c>
      <c r="D28" s="15" t="n"/>
      <c r="E28" s="15" t="n"/>
      <c r="F28" s="17" t="n">
        <v>0.002835648148148148</v>
      </c>
      <c r="G28" s="15" t="n"/>
      <c r="H28" s="15" t="n"/>
      <c r="I28" s="16" t="n"/>
      <c r="J28" s="16" t="n"/>
      <c r="K28" s="15" t="n"/>
      <c r="L28" s="15" t="n"/>
      <c r="M28" s="15" t="n"/>
      <c r="N28" s="15" t="n"/>
      <c r="O28" s="15" t="n"/>
      <c r="P28" s="16" t="n"/>
      <c r="Q28" s="16" t="n"/>
      <c r="R28" s="15" t="n"/>
      <c r="S28" s="15" t="n"/>
      <c r="T28" s="15" t="n"/>
      <c r="U28" s="15" t="n"/>
      <c r="V28" s="15" t="n"/>
      <c r="W28" s="16" t="n"/>
      <c r="X28" s="16" t="n"/>
      <c r="Y28" s="15" t="n"/>
      <c r="Z28" s="15" t="n"/>
      <c r="AA28" s="15" t="n"/>
      <c r="AB28" s="15" t="n"/>
      <c r="AC28" s="15" t="n"/>
      <c r="AD28" s="16" t="n"/>
      <c r="AE28" s="16" t="n"/>
      <c r="AF28" s="15" t="n"/>
      <c r="AG28" s="15" t="n"/>
      <c r="AH28" s="18">
        <f>SUM(D28:AG28)</f>
        <v/>
      </c>
      <c r="AI28" s="18" t="n">
        <v>0.002835648148148148</v>
      </c>
      <c r="AJ28" s="18">
        <f>AI28-AH28</f>
        <v/>
      </c>
      <c r="AK28" s="14" t="n"/>
      <c r="AL28" s="14" t="n"/>
      <c r="AM28" s="14" t="n"/>
    </row>
    <row r="29" ht="17.1" customHeight="1">
      <c r="A29" s="13" t="inlineStr">
        <is>
          <t>SAMBRINI ALESSIA</t>
        </is>
      </c>
      <c r="B29" s="14" t="inlineStr">
        <is>
          <t>SMBLSS74D47H501E</t>
        </is>
      </c>
      <c r="C29" s="13" t="inlineStr">
        <is>
          <t>Big Data - Tecninf - Fondoconoscenza</t>
        </is>
      </c>
      <c r="D29" s="17" t="n">
        <v>0.1106481481481481</v>
      </c>
      <c r="E29" s="15" t="n"/>
      <c r="F29" s="15" t="n"/>
      <c r="G29" s="15" t="n"/>
      <c r="H29" s="15" t="n"/>
      <c r="I29" s="16" t="n"/>
      <c r="J29" s="16" t="n"/>
      <c r="K29" s="17" t="n">
        <v>0.03888888888888889</v>
      </c>
      <c r="L29" s="15" t="n"/>
      <c r="M29" s="15" t="n"/>
      <c r="N29" s="15" t="n"/>
      <c r="O29" s="15" t="n"/>
      <c r="P29" s="16" t="n"/>
      <c r="Q29" s="16" t="n"/>
      <c r="R29" s="15" t="n"/>
      <c r="S29" s="15" t="n"/>
      <c r="T29" s="17" t="n">
        <v>0.02358796296296296</v>
      </c>
      <c r="U29" s="15" t="n"/>
      <c r="V29" s="15" t="n"/>
      <c r="W29" s="16" t="n"/>
      <c r="X29" s="16" t="n"/>
      <c r="Y29" s="15" t="n"/>
      <c r="Z29" s="15" t="n"/>
      <c r="AA29" s="15" t="n"/>
      <c r="AB29" s="15" t="n"/>
      <c r="AC29" s="15" t="n"/>
      <c r="AD29" s="16" t="n"/>
      <c r="AE29" s="16" t="n"/>
      <c r="AF29" s="15" t="n"/>
      <c r="AG29" s="15" t="n"/>
      <c r="AH29" s="18">
        <f>SUM(D29:AG29)</f>
        <v/>
      </c>
      <c r="AI29" s="18" t="n">
        <v>0.173125</v>
      </c>
      <c r="AJ29" s="18">
        <f>AI29-AH29</f>
        <v/>
      </c>
      <c r="AK29" s="14" t="n"/>
      <c r="AL29" s="14" t="n"/>
      <c r="AM29" s="14" t="n"/>
    </row>
    <row r="30" ht="17.1" customHeight="1">
      <c r="A30" s="13" t="inlineStr">
        <is>
          <t>SAVAIANO SILVIA</t>
        </is>
      </c>
      <c r="B30" s="14" t="inlineStr">
        <is>
          <t>SVNSLV89A46H501I</t>
        </is>
      </c>
      <c r="C30" s="13" t="inlineStr">
        <is>
          <t>La programmazione - Tecninf - Fondoconoscenza</t>
        </is>
      </c>
      <c r="D30" s="15" t="n"/>
      <c r="E30" s="15" t="n"/>
      <c r="F30" s="15" t="n"/>
      <c r="G30" s="15" t="n"/>
      <c r="H30" s="15" t="n"/>
      <c r="I30" s="16" t="n"/>
      <c r="J30" s="16" t="n"/>
      <c r="K30" s="15" t="n"/>
      <c r="L30" s="15" t="n"/>
      <c r="M30" s="15" t="n"/>
      <c r="N30" s="15" t="n"/>
      <c r="O30" s="15" t="n"/>
      <c r="P30" s="16" t="n"/>
      <c r="Q30" s="16" t="n"/>
      <c r="R30" s="15" t="n"/>
      <c r="S30" s="15" t="n"/>
      <c r="T30" s="15" t="n"/>
      <c r="U30" s="15" t="n"/>
      <c r="V30" s="15" t="n"/>
      <c r="W30" s="16" t="n"/>
      <c r="X30" s="16" t="n"/>
      <c r="Y30" s="15" t="n"/>
      <c r="Z30" s="15" t="n"/>
      <c r="AA30" s="15" t="n"/>
      <c r="AB30" s="15" t="n"/>
      <c r="AC30" s="15" t="n"/>
      <c r="AD30" s="16" t="n"/>
      <c r="AE30" s="16" t="n"/>
      <c r="AF30" s="15" t="n"/>
      <c r="AG30" s="15" t="n"/>
      <c r="AH30" s="18">
        <f>SUM(D30:AG30)</f>
        <v/>
      </c>
      <c r="AI30" s="14" t="n"/>
      <c r="AJ30" s="18">
        <f>AI30-AH30</f>
        <v/>
      </c>
      <c r="AK30" s="14" t="n"/>
      <c r="AL30" s="14" t="n"/>
      <c r="AM30" s="14" t="n"/>
    </row>
    <row r="31" ht="17.1" customHeight="1">
      <c r="A31" s="13" t="inlineStr">
        <is>
          <t>SCALVEDI FILIPPO</t>
        </is>
      </c>
      <c r="B31" s="14" t="inlineStr">
        <is>
          <t>SCLFPP97S05H501K</t>
        </is>
      </c>
      <c r="C31" s="13" t="inlineStr">
        <is>
          <t>Big Data - Tecninf - Fondoconoscenza</t>
        </is>
      </c>
      <c r="D31" s="15" t="n"/>
      <c r="E31" s="15" t="n"/>
      <c r="F31" s="15" t="n"/>
      <c r="G31" s="15" t="n"/>
      <c r="H31" s="15" t="n"/>
      <c r="I31" s="16" t="n"/>
      <c r="J31" s="16" t="n"/>
      <c r="K31" s="15" t="n"/>
      <c r="L31" s="15" t="n"/>
      <c r="M31" s="15" t="n"/>
      <c r="N31" s="15" t="n"/>
      <c r="O31" s="15" t="n"/>
      <c r="P31" s="16" t="n"/>
      <c r="Q31" s="16" t="n"/>
      <c r="R31" s="15" t="n"/>
      <c r="S31" s="15" t="n"/>
      <c r="T31" s="15" t="n"/>
      <c r="U31" s="15" t="n"/>
      <c r="V31" s="15" t="n"/>
      <c r="W31" s="16" t="n"/>
      <c r="X31" s="16" t="n"/>
      <c r="Y31" s="15" t="n"/>
      <c r="Z31" s="15" t="n"/>
      <c r="AA31" s="15" t="n"/>
      <c r="AB31" s="15" t="n"/>
      <c r="AC31" s="15" t="n"/>
      <c r="AD31" s="16" t="n"/>
      <c r="AE31" s="16" t="n"/>
      <c r="AF31" s="15" t="n"/>
      <c r="AG31" s="15" t="n"/>
      <c r="AH31" s="18">
        <f>SUM(D31:AG31)</f>
        <v/>
      </c>
      <c r="AI31" s="14" t="n"/>
      <c r="AJ31" s="18">
        <f>AI31-AH31</f>
        <v/>
      </c>
      <c r="AK31" s="14" t="n"/>
      <c r="AL31" s="14" t="n"/>
      <c r="AM31" s="14" t="n"/>
    </row>
    <row r="32" ht="17.1" customHeight="1">
      <c r="A32" s="13" t="inlineStr">
        <is>
          <t>SCRIMIERI TIZIANO</t>
        </is>
      </c>
      <c r="B32" s="14" t="inlineStr">
        <is>
          <t>SCRTZN80A09H501I</t>
        </is>
      </c>
      <c r="C32" s="13" t="inlineStr">
        <is>
          <t>Big Data - Tecninf - Fondoconoscenza</t>
        </is>
      </c>
      <c r="D32" s="15" t="n"/>
      <c r="E32" s="15" t="n"/>
      <c r="F32" s="15" t="n"/>
      <c r="G32" s="15" t="n"/>
      <c r="H32" s="15" t="n"/>
      <c r="I32" s="16" t="n"/>
      <c r="J32" s="16" t="n"/>
      <c r="K32" s="15" t="n"/>
      <c r="L32" s="15" t="n"/>
      <c r="M32" s="15" t="n"/>
      <c r="N32" s="15" t="n"/>
      <c r="O32" s="15" t="n"/>
      <c r="P32" s="16" t="n"/>
      <c r="Q32" s="16" t="n"/>
      <c r="R32" s="15" t="n"/>
      <c r="S32" s="15" t="n"/>
      <c r="T32" s="15" t="n"/>
      <c r="U32" s="15" t="n"/>
      <c r="V32" s="15" t="n"/>
      <c r="W32" s="16" t="n"/>
      <c r="X32" s="16" t="n"/>
      <c r="Y32" s="15" t="n"/>
      <c r="Z32" s="15" t="n"/>
      <c r="AA32" s="15" t="n"/>
      <c r="AB32" s="15" t="n"/>
      <c r="AC32" s="15" t="n"/>
      <c r="AD32" s="16" t="n"/>
      <c r="AE32" s="16" t="n"/>
      <c r="AF32" s="15" t="n"/>
      <c r="AG32" s="15" t="n"/>
      <c r="AH32" s="18">
        <f>SUM(D32:AG32)</f>
        <v/>
      </c>
      <c r="AI32" s="14" t="n"/>
      <c r="AJ32" s="18">
        <f>AI32-AH32</f>
        <v/>
      </c>
      <c r="AK32" s="14" t="n"/>
      <c r="AL32" s="14" t="n"/>
      <c r="AM32" s="14" t="n"/>
    </row>
    <row r="33" ht="17.1" customHeight="1">
      <c r="A33" s="13" t="inlineStr">
        <is>
          <t>STASIUC DENIS</t>
        </is>
      </c>
      <c r="B33" s="14" t="inlineStr">
        <is>
          <t>STSDNS91B05Z140T</t>
        </is>
      </c>
      <c r="C33" s="13" t="inlineStr">
        <is>
          <t>Big Data - Tecninf - Fondoconoscenza</t>
        </is>
      </c>
      <c r="D33" s="15" t="n"/>
      <c r="E33" s="15" t="n"/>
      <c r="F33" s="17" t="n">
        <v>0.1707291666666667</v>
      </c>
      <c r="G33" s="17" t="n">
        <v>0.130462962962963</v>
      </c>
      <c r="H33" s="17" t="n">
        <v>0.108287037037037</v>
      </c>
      <c r="I33" s="16" t="n"/>
      <c r="J33" s="16" t="n"/>
      <c r="K33" s="17" t="n">
        <v>0.03543981481481481</v>
      </c>
      <c r="L33" s="15" t="n"/>
      <c r="M33" s="17" t="n">
        <v>0.09778935185185185</v>
      </c>
      <c r="N33" s="15" t="n"/>
      <c r="O33" s="17" t="n">
        <v>0.07190972222222222</v>
      </c>
      <c r="P33" s="16" t="n"/>
      <c r="Q33" s="16" t="n"/>
      <c r="R33" s="15" t="n"/>
      <c r="S33" s="15" t="n"/>
      <c r="T33" s="15" t="n"/>
      <c r="U33" s="15" t="n"/>
      <c r="V33" s="15" t="n"/>
      <c r="W33" s="16" t="n"/>
      <c r="X33" s="16" t="n"/>
      <c r="Y33" s="15" t="n"/>
      <c r="Z33" s="19" t="n">
        <v>0.1748148148148148</v>
      </c>
      <c r="AA33" s="17" t="n">
        <v>0.03630787037037037</v>
      </c>
      <c r="AB33" s="17" t="n">
        <v>0.1771180555555555</v>
      </c>
      <c r="AC33" s="15" t="n"/>
      <c r="AD33" s="16" t="n"/>
      <c r="AE33" s="16" t="n"/>
      <c r="AF33" s="15" t="n"/>
      <c r="AG33" s="17" t="n">
        <v>0.1196180555555556</v>
      </c>
      <c r="AH33" s="18">
        <f>SUM(D33:AG33)</f>
        <v/>
      </c>
      <c r="AI33" s="18" t="n">
        <v>1.126365740740741</v>
      </c>
      <c r="AJ33" s="18">
        <f>AI33-AH33</f>
        <v/>
      </c>
      <c r="AK33" s="14" t="n"/>
      <c r="AL33" s="18" t="n">
        <v>0.003888888888888889</v>
      </c>
      <c r="AM33" s="14" t="n"/>
    </row>
    <row r="34" ht="17.1" customHeight="1">
      <c r="A34" s="13" t="inlineStr">
        <is>
          <t>TARISCIOTTI ANDREA</t>
        </is>
      </c>
      <c r="B34" s="14" t="inlineStr">
        <is>
          <t>TRSNDR97M24H501B</t>
        </is>
      </c>
      <c r="C34" s="13" t="inlineStr">
        <is>
          <t>La programmazione - Tecninf - Fondoconoscenza</t>
        </is>
      </c>
      <c r="D34" s="15" t="n"/>
      <c r="E34" s="15" t="n"/>
      <c r="F34" s="15" t="n"/>
      <c r="G34" s="15" t="n"/>
      <c r="H34" s="15" t="n"/>
      <c r="I34" s="16" t="n"/>
      <c r="J34" s="16" t="n"/>
      <c r="K34" s="15" t="n"/>
      <c r="L34" s="15" t="n"/>
      <c r="M34" s="17" t="n">
        <v>0.02651620370370371</v>
      </c>
      <c r="N34" s="17" t="n">
        <v>0.03069444444444444</v>
      </c>
      <c r="O34" s="17" t="n">
        <v>0.04725694444444444</v>
      </c>
      <c r="P34" s="16" t="n"/>
      <c r="Q34" s="16" t="n"/>
      <c r="R34" s="15" t="n"/>
      <c r="S34" s="15" t="n"/>
      <c r="T34" s="15" t="n"/>
      <c r="U34" s="15" t="n"/>
      <c r="V34" s="15" t="n"/>
      <c r="W34" s="16" t="n"/>
      <c r="X34" s="16" t="n"/>
      <c r="Y34" s="15" t="n"/>
      <c r="Z34" s="15" t="n"/>
      <c r="AA34" s="15" t="n"/>
      <c r="AB34" s="15" t="n"/>
      <c r="AC34" s="15" t="n"/>
      <c r="AD34" s="16" t="n"/>
      <c r="AE34" s="16" t="n"/>
      <c r="AF34" s="15" t="n"/>
      <c r="AG34" s="15" t="n"/>
      <c r="AH34" s="18">
        <f>SUM(D34:AG34)</f>
        <v/>
      </c>
      <c r="AI34" s="18" t="n">
        <v>0.1044675925925926</v>
      </c>
      <c r="AJ34" s="18">
        <f>AI34-AH34</f>
        <v/>
      </c>
      <c r="AK34" s="14" t="n"/>
      <c r="AL34" s="14" t="n"/>
      <c r="AM34" s="14" t="n"/>
    </row>
    <row r="35" ht="17.1" customHeight="1">
      <c r="A35" s="13" t="inlineStr">
        <is>
          <t>TOCI ANTONETA</t>
        </is>
      </c>
      <c r="B35" s="14" t="inlineStr">
        <is>
          <t>TCONNT91H59Z100O</t>
        </is>
      </c>
      <c r="C35" s="13" t="inlineStr">
        <is>
          <t>La programmazione - Tecninf - Fondoconoscenza</t>
        </is>
      </c>
      <c r="D35" s="15" t="n"/>
      <c r="E35" s="15" t="n"/>
      <c r="F35" s="15" t="n"/>
      <c r="G35" s="15" t="n"/>
      <c r="H35" s="15" t="n"/>
      <c r="I35" s="16" t="n"/>
      <c r="J35" s="16" t="n"/>
      <c r="K35" s="15" t="n"/>
      <c r="L35" s="15" t="n"/>
      <c r="M35" s="15" t="n"/>
      <c r="N35" s="15" t="n"/>
      <c r="O35" s="15" t="n"/>
      <c r="P35" s="16" t="n"/>
      <c r="Q35" s="16" t="n"/>
      <c r="R35" s="15" t="n"/>
      <c r="S35" s="15" t="n"/>
      <c r="T35" s="15" t="n"/>
      <c r="U35" s="15" t="n"/>
      <c r="V35" s="15" t="n"/>
      <c r="W35" s="16" t="n"/>
      <c r="X35" s="16" t="n"/>
      <c r="Y35" s="15" t="n"/>
      <c r="Z35" s="15" t="n"/>
      <c r="AA35" s="15" t="n"/>
      <c r="AB35" s="15" t="n"/>
      <c r="AC35" s="15" t="n"/>
      <c r="AD35" s="16" t="n"/>
      <c r="AE35" s="16" t="n"/>
      <c r="AF35" s="15" t="n"/>
      <c r="AG35" s="15" t="n"/>
      <c r="AH35" s="18">
        <f>SUM(D35:AG35)</f>
        <v/>
      </c>
      <c r="AI35" s="14" t="n"/>
      <c r="AJ35" s="18">
        <f>AI35-AH35</f>
        <v/>
      </c>
      <c r="AK35" s="14" t="n"/>
      <c r="AL35" s="14" t="n"/>
      <c r="AM35" s="14" t="n"/>
    </row>
    <row r="36" ht="17.1" customHeight="1">
      <c r="A36" s="13" t="inlineStr">
        <is>
          <t>VISWANATHAN SRIDHAR</t>
        </is>
      </c>
      <c r="B36" s="14" t="inlineStr">
        <is>
          <t>VSWSDH86S22Z222H</t>
        </is>
      </c>
      <c r="C36" s="13" t="inlineStr">
        <is>
          <t>Project Management per il digitale - Tecninf - Fondoconoscenza</t>
        </is>
      </c>
      <c r="D36" s="15" t="n"/>
      <c r="E36" s="15" t="n"/>
      <c r="F36" s="15" t="n"/>
      <c r="G36" s="15" t="n"/>
      <c r="H36" s="15" t="n"/>
      <c r="I36" s="16" t="n"/>
      <c r="J36" s="16" t="n"/>
      <c r="K36" s="15" t="n"/>
      <c r="L36" s="15" t="n"/>
      <c r="M36" s="15" t="n"/>
      <c r="N36" s="15" t="n"/>
      <c r="O36" s="15" t="n"/>
      <c r="P36" s="16" t="n"/>
      <c r="Q36" s="16" t="n"/>
      <c r="R36" s="15" t="n"/>
      <c r="S36" s="15" t="n"/>
      <c r="T36" s="15" t="n"/>
      <c r="U36" s="15" t="n"/>
      <c r="V36" s="15" t="n"/>
      <c r="W36" s="16" t="n"/>
      <c r="X36" s="16" t="n"/>
      <c r="Y36" s="15" t="n"/>
      <c r="Z36" s="15" t="n"/>
      <c r="AA36" s="15" t="n"/>
      <c r="AB36" s="15" t="n"/>
      <c r="AC36" s="15" t="n"/>
      <c r="AD36" s="16" t="n"/>
      <c r="AE36" s="16" t="n"/>
      <c r="AF36" s="15" t="n"/>
      <c r="AG36" s="15" t="n"/>
      <c r="AH36" s="18">
        <f>SUM(D36:AG36)</f>
        <v/>
      </c>
      <c r="AI36" s="14" t="n"/>
      <c r="AJ36" s="18">
        <f>AI36-AH36</f>
        <v/>
      </c>
      <c r="AK36" s="14" t="n"/>
      <c r="AL36" s="14" t="n"/>
      <c r="AM36" s="14" t="n"/>
    </row>
    <row r="37" ht="17.1" customHeight="1">
      <c r="A37" s="20" t="inlineStr">
        <is>
          <t>TOTALE</t>
        </is>
      </c>
      <c r="B37" s="21" t="n"/>
      <c r="C37" s="21" t="n"/>
      <c r="D37" s="22">
        <f>SUM(D4:D36)</f>
        <v/>
      </c>
      <c r="E37" s="22">
        <f>SUM(E4:E36)</f>
        <v/>
      </c>
      <c r="F37" s="22">
        <f>SUM(F4:F36)</f>
        <v/>
      </c>
      <c r="G37" s="22">
        <f>SUM(G4:G36)</f>
        <v/>
      </c>
      <c r="H37" s="22">
        <f>SUM(H4:H36)</f>
        <v/>
      </c>
      <c r="I37" s="22">
        <f>SUM(I4:I36)</f>
        <v/>
      </c>
      <c r="J37" s="22">
        <f>SUM(J4:J36)</f>
        <v/>
      </c>
      <c r="K37" s="22">
        <f>SUM(K4:K36)</f>
        <v/>
      </c>
      <c r="L37" s="22">
        <f>SUM(L4:L36)</f>
        <v/>
      </c>
      <c r="M37" s="22">
        <f>SUM(M4:M36)</f>
        <v/>
      </c>
      <c r="N37" s="22">
        <f>SUM(N4:N36)</f>
        <v/>
      </c>
      <c r="O37" s="22">
        <f>SUM(O4:O36)</f>
        <v/>
      </c>
      <c r="P37" s="22">
        <f>SUM(P4:P36)</f>
        <v/>
      </c>
      <c r="Q37" s="22">
        <f>SUM(Q4:Q36)</f>
        <v/>
      </c>
      <c r="R37" s="22">
        <f>SUM(R4:R36)</f>
        <v/>
      </c>
      <c r="S37" s="22">
        <f>SUM(S4:S36)</f>
        <v/>
      </c>
      <c r="T37" s="22">
        <f>SUM(T4:T36)</f>
        <v/>
      </c>
      <c r="U37" s="22">
        <f>SUM(U4:U36)</f>
        <v/>
      </c>
      <c r="V37" s="22">
        <f>SUM(V4:V36)</f>
        <v/>
      </c>
      <c r="W37" s="22">
        <f>SUM(W4:W36)</f>
        <v/>
      </c>
      <c r="X37" s="22">
        <f>SUM(X4:X36)</f>
        <v/>
      </c>
      <c r="Y37" s="22">
        <f>SUM(Y4:Y36)</f>
        <v/>
      </c>
      <c r="Z37" s="22">
        <f>SUM(Z4:Z36)</f>
        <v/>
      </c>
      <c r="AA37" s="22">
        <f>SUM(AA4:AA36)</f>
        <v/>
      </c>
      <c r="AB37" s="22">
        <f>SUM(AB4:AB36)</f>
        <v/>
      </c>
      <c r="AC37" s="22">
        <f>SUM(AC4:AC36)</f>
        <v/>
      </c>
      <c r="AD37" s="22">
        <f>SUM(AD4:AD36)</f>
        <v/>
      </c>
      <c r="AE37" s="22">
        <f>SUM(AE4:AE36)</f>
        <v/>
      </c>
      <c r="AF37" s="22">
        <f>SUM(AF4:AF36)</f>
        <v/>
      </c>
      <c r="AG37" s="22">
        <f>SUM(AG4:AG36)</f>
        <v/>
      </c>
      <c r="AH37" s="22">
        <f>SUM(AH4:AH36)</f>
        <v/>
      </c>
      <c r="AI37" s="22">
        <f>SUM(AI4:AI36)</f>
        <v/>
      </c>
      <c r="AJ37" s="22">
        <f>SUM(AJ4:AJ36)</f>
        <v/>
      </c>
      <c r="AK37" s="22">
        <f>SUM(AK4:AK36)</f>
        <v/>
      </c>
      <c r="AL37" s="22">
        <f>SUM(AL4:AL36)</f>
        <v/>
      </c>
      <c r="AM37" s="22">
        <f>SUM(AM4:AM36)</f>
        <v/>
      </c>
    </row>
  </sheetData>
  <mergeCells count="1">
    <mergeCell ref="A1:AM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7" customWidth="1" min="2" max="2"/>
    <col width="35" customWidth="1" min="3" max="3"/>
    <col width="6.42578125" customWidth="1" min="4" max="4"/>
    <col width="6.42578125" customWidth="1" min="5" max="5"/>
    <col width="6.42578125" customWidth="1" min="6" max="6"/>
    <col width="6.42578125" customWidth="1" min="7" max="7"/>
    <col width="6.42578125" customWidth="1" min="8" max="8"/>
    <col width="6.42578125" customWidth="1" min="9" max="9"/>
    <col width="6.42578125" customWidth="1" min="10" max="10"/>
    <col width="6.42578125" customWidth="1" min="11" max="11"/>
    <col width="6.42578125" customWidth="1" min="12" max="12"/>
    <col width="6.42578125" customWidth="1" min="13" max="13"/>
    <col width="6.42578125" customWidth="1" min="14" max="14"/>
    <col width="6.42578125" customWidth="1" min="15" max="15"/>
    <col width="6.42578125" customWidth="1" min="16" max="16"/>
    <col width="6.42578125" customWidth="1" min="17" max="17"/>
    <col width="6.42578125" customWidth="1" min="18" max="18"/>
    <col width="6.42578125" customWidth="1" min="19" max="19"/>
    <col width="6.42578125" customWidth="1" min="20" max="20"/>
    <col width="6.42578125" customWidth="1" min="21" max="21"/>
    <col width="6.42578125" customWidth="1" min="22" max="22"/>
    <col width="6.42578125" customWidth="1" min="23" max="23"/>
    <col width="6.42578125" customWidth="1" min="24" max="24"/>
    <col width="6.42578125" customWidth="1" min="25" max="25"/>
    <col width="6.42578125" customWidth="1" min="26" max="26"/>
    <col width="6.42578125" customWidth="1" min="27" max="27"/>
    <col width="6.42578125" customWidth="1" min="28" max="28"/>
    <col width="6.42578125" customWidth="1" min="29" max="29"/>
    <col width="6.42578125" customWidth="1" min="30" max="30"/>
    <col width="6.42578125" customWidth="1" min="31" max="31"/>
    <col width="6.42578125" customWidth="1" min="32" max="32"/>
    <col width="6.42578125" customWidth="1" min="33" max="33"/>
    <col width="6.42578125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</cols>
  <sheetData>
    <row r="1" ht="26.1" customHeight="1">
      <c r="A1" s="1" t="inlineStr">
        <is>
          <t>MONITORAGGIO ORE FORMAZIONE - Luglio 2026 - TECNINF SPA</t>
        </is>
      </c>
    </row>
    <row r="2" ht="38.1" customHeight="1"/>
    <row r="3" ht="32.1" customHeight="1">
      <c r="A3" s="2" t="inlineStr">
        <is>
          <t>Utente</t>
        </is>
      </c>
      <c r="B3" s="2" t="inlineStr">
        <is>
          <t>Codice Fiscale</t>
        </is>
      </c>
      <c r="C3" s="2" t="inlineStr">
        <is>
          <t>Percorso Formativo</t>
        </is>
      </c>
      <c r="D3" s="11" t="inlineStr">
        <is>
          <t>1
M</t>
        </is>
      </c>
      <c r="E3" s="11" t="inlineStr">
        <is>
          <t>2
G</t>
        </is>
      </c>
      <c r="F3" s="11" t="inlineStr">
        <is>
          <t>3
V</t>
        </is>
      </c>
      <c r="G3" s="12" t="inlineStr">
        <is>
          <t>4
S</t>
        </is>
      </c>
      <c r="H3" s="12" t="inlineStr">
        <is>
          <t>5
D</t>
        </is>
      </c>
      <c r="I3" s="11" t="inlineStr">
        <is>
          <t>6
L</t>
        </is>
      </c>
      <c r="J3" s="11" t="inlineStr">
        <is>
          <t>7
M</t>
        </is>
      </c>
      <c r="K3" s="11" t="inlineStr">
        <is>
          <t>8
M</t>
        </is>
      </c>
      <c r="L3" s="11" t="inlineStr">
        <is>
          <t>9
G</t>
        </is>
      </c>
      <c r="M3" s="11" t="inlineStr">
        <is>
          <t>10
V</t>
        </is>
      </c>
      <c r="N3" s="12" t="inlineStr">
        <is>
          <t>11
S</t>
        </is>
      </c>
      <c r="O3" s="12" t="inlineStr">
        <is>
          <t>12
D</t>
        </is>
      </c>
      <c r="P3" s="11" t="inlineStr">
        <is>
          <t>13
L</t>
        </is>
      </c>
      <c r="Q3" s="11" t="inlineStr">
        <is>
          <t>14
M</t>
        </is>
      </c>
      <c r="R3" s="11" t="inlineStr">
        <is>
          <t>15
M</t>
        </is>
      </c>
      <c r="S3" s="11" t="inlineStr">
        <is>
          <t>16
G</t>
        </is>
      </c>
      <c r="T3" s="11" t="inlineStr">
        <is>
          <t>17
V</t>
        </is>
      </c>
      <c r="U3" s="12" t="inlineStr">
        <is>
          <t>18
S</t>
        </is>
      </c>
      <c r="V3" s="12" t="inlineStr">
        <is>
          <t>19
D</t>
        </is>
      </c>
      <c r="W3" s="11" t="inlineStr">
        <is>
          <t>20
L</t>
        </is>
      </c>
      <c r="X3" s="11" t="inlineStr">
        <is>
          <t>21
M</t>
        </is>
      </c>
      <c r="Y3" s="11" t="inlineStr">
        <is>
          <t>22
M</t>
        </is>
      </c>
      <c r="Z3" s="11" t="inlineStr">
        <is>
          <t>23
G</t>
        </is>
      </c>
      <c r="AA3" s="11" t="inlineStr">
        <is>
          <t>24
V</t>
        </is>
      </c>
      <c r="AB3" s="12" t="inlineStr">
        <is>
          <t>25
S</t>
        </is>
      </c>
      <c r="AC3" s="12" t="inlineStr">
        <is>
          <t>26
D</t>
        </is>
      </c>
      <c r="AD3" s="11" t="inlineStr">
        <is>
          <t>27
L</t>
        </is>
      </c>
      <c r="AE3" s="11" t="inlineStr">
        <is>
          <t>28
M</t>
        </is>
      </c>
      <c r="AF3" s="11" t="inlineStr">
        <is>
          <t>29
M</t>
        </is>
      </c>
      <c r="AG3" s="11" t="inlineStr">
        <is>
          <t>30
G</t>
        </is>
      </c>
      <c r="AH3" s="11" t="inlineStr">
        <is>
          <t>31
V</t>
        </is>
      </c>
      <c r="AI3" s="2" t="inlineStr">
        <is>
          <t>Totale
Ore Effettive</t>
        </is>
      </c>
      <c r="AJ3" s="2" t="inlineStr">
        <is>
          <t>Ore
Totali</t>
        </is>
      </c>
      <c r="AK3" s="2" t="inlineStr">
        <is>
          <t>Totale
Eccesso</t>
        </is>
      </c>
      <c r="AL3" s="2" t="inlineStr">
        <is>
          <t>Eccesso
Weekend</t>
        </is>
      </c>
      <c r="AM3" s="2" t="inlineStr">
        <is>
          <t>Eccesso
Dopo 18:00</t>
        </is>
      </c>
      <c r="AN3" s="2" t="inlineStr">
        <is>
          <t>Eccesso
Mattutino</t>
        </is>
      </c>
    </row>
    <row r="4" ht="17.1" customHeight="1">
      <c r="A4" s="13" t="inlineStr">
        <is>
          <t>ALBA WILLIAM JULIAN PAZ</t>
        </is>
      </c>
      <c r="B4" s="14" t="inlineStr">
        <is>
          <t>PZLWLM96A16Z504F</t>
        </is>
      </c>
      <c r="C4" s="13" t="inlineStr">
        <is>
          <t>La programmazione - Tecninf - Fondoconoscenza</t>
        </is>
      </c>
      <c r="D4" s="15" t="n"/>
      <c r="E4" s="15" t="n"/>
      <c r="F4" s="15" t="n"/>
      <c r="G4" s="16" t="n"/>
      <c r="H4" s="16" t="n"/>
      <c r="I4" s="15" t="n"/>
      <c r="J4" s="15" t="n"/>
      <c r="K4" s="15" t="n"/>
      <c r="L4" s="15" t="n"/>
      <c r="M4" s="15" t="n"/>
      <c r="N4" s="16" t="n"/>
      <c r="O4" s="16" t="n"/>
      <c r="P4" s="15" t="n"/>
      <c r="Q4" s="15" t="n"/>
      <c r="R4" s="15" t="n"/>
      <c r="S4" s="15" t="n"/>
      <c r="T4" s="15" t="n"/>
      <c r="U4" s="16" t="n"/>
      <c r="V4" s="16" t="n"/>
      <c r="W4" s="15" t="n"/>
      <c r="X4" s="15" t="n"/>
      <c r="Y4" s="15" t="n"/>
      <c r="Z4" s="15" t="n"/>
      <c r="AA4" s="15" t="n"/>
      <c r="AB4" s="16" t="n"/>
      <c r="AC4" s="16" t="n"/>
      <c r="AD4" s="15" t="n"/>
      <c r="AE4" s="15" t="n"/>
      <c r="AF4" s="15" t="n"/>
      <c r="AG4" s="15" t="n"/>
      <c r="AH4" s="15" t="n"/>
      <c r="AI4" s="18">
        <f>SUM(D4:AH4)</f>
        <v/>
      </c>
      <c r="AJ4" s="14" t="n"/>
      <c r="AK4" s="18">
        <f>AJ4-AI4</f>
        <v/>
      </c>
      <c r="AL4" s="14" t="n"/>
      <c r="AM4" s="14" t="n"/>
      <c r="AN4" s="14" t="n"/>
    </row>
    <row r="5" ht="17.1" customHeight="1">
      <c r="A5" s="13" t="inlineStr">
        <is>
          <t>BADII ALESSANDRO</t>
        </is>
      </c>
      <c r="B5" s="14" t="inlineStr">
        <is>
          <t>BDALSN01R03H501Z</t>
        </is>
      </c>
      <c r="C5" s="13" t="inlineStr">
        <is>
          <t>Big Data - Tecninf - Fondoconoscenza</t>
        </is>
      </c>
      <c r="D5" s="15" t="n"/>
      <c r="E5" s="15" t="n"/>
      <c r="F5" s="15" t="n"/>
      <c r="G5" s="16" t="n"/>
      <c r="H5" s="16" t="n"/>
      <c r="I5" s="15" t="n"/>
      <c r="J5" s="15" t="n"/>
      <c r="K5" s="15" t="n"/>
      <c r="L5" s="15" t="n"/>
      <c r="M5" s="15" t="n"/>
      <c r="N5" s="16" t="n"/>
      <c r="O5" s="16" t="n"/>
      <c r="P5" s="15" t="n"/>
      <c r="Q5" s="17" t="n">
        <v>0.2171759259259259</v>
      </c>
      <c r="R5" s="17" t="n">
        <v>0.02892361111111111</v>
      </c>
      <c r="S5" s="17" t="n">
        <v>0.1478703703703704</v>
      </c>
      <c r="T5" s="17" t="n">
        <v>0.2244791666666667</v>
      </c>
      <c r="U5" s="16" t="n"/>
      <c r="V5" s="16" t="n"/>
      <c r="W5" s="17" t="n">
        <v>0.1174421296296296</v>
      </c>
      <c r="X5" s="17" t="n">
        <v>0.2017592592592592</v>
      </c>
      <c r="Y5" s="19" t="n">
        <v>0.217349537037037</v>
      </c>
      <c r="Z5" s="19" t="n">
        <v>0.2553935185185185</v>
      </c>
      <c r="AA5" s="19" t="n">
        <v>0.1937268518518518</v>
      </c>
      <c r="AB5" s="16" t="n"/>
      <c r="AC5" s="16" t="n"/>
      <c r="AD5" s="17" t="n">
        <v>0.2028472222222222</v>
      </c>
      <c r="AE5" s="17" t="n">
        <v>0.2173148148148148</v>
      </c>
      <c r="AF5" s="17" t="n">
        <v>0.1613541666666667</v>
      </c>
      <c r="AG5" s="19" t="n">
        <v>0.2116435185185185</v>
      </c>
      <c r="AH5" s="19" t="n">
        <v>0.1988425925925926</v>
      </c>
      <c r="AI5" s="18">
        <f>SUM(D5:AH5)</f>
        <v/>
      </c>
      <c r="AJ5" s="18" t="n">
        <v>2.626435185185185</v>
      </c>
      <c r="AK5" s="18">
        <f>AJ5-AI5</f>
        <v/>
      </c>
      <c r="AL5" s="14" t="n"/>
      <c r="AM5" s="18" t="n">
        <v>0.0303125</v>
      </c>
      <c r="AN5" s="14" t="n"/>
    </row>
    <row r="6" ht="17.1" customHeight="1">
      <c r="A6" s="13" t="inlineStr">
        <is>
          <t>BADINE HICHAM</t>
        </is>
      </c>
      <c r="B6" s="14" t="inlineStr">
        <is>
          <t>BDNHHM97H19H501Q</t>
        </is>
      </c>
      <c r="C6" s="13" t="inlineStr">
        <is>
          <t>La programmazione - Tecninf - Fondoconoscenza</t>
        </is>
      </c>
      <c r="D6" s="19" t="n">
        <v>0.09229166666666666</v>
      </c>
      <c r="E6" s="17" t="n">
        <v>0.008518518518518519</v>
      </c>
      <c r="F6" s="17" t="n">
        <v>0.05770833333333333</v>
      </c>
      <c r="G6" s="16" t="n"/>
      <c r="H6" s="16" t="n"/>
      <c r="I6" s="17" t="n">
        <v>0.1410648148148148</v>
      </c>
      <c r="J6" s="17" t="n">
        <v>0.1227893518518519</v>
      </c>
      <c r="K6" s="15" t="n"/>
      <c r="L6" s="15" t="n"/>
      <c r="M6" s="17" t="n">
        <v>0.04146990740740741</v>
      </c>
      <c r="N6" s="16" t="n"/>
      <c r="O6" s="16" t="n"/>
      <c r="P6" s="15" t="n"/>
      <c r="Q6" s="15" t="n"/>
      <c r="R6" s="17" t="n">
        <v>0.03234953703703704</v>
      </c>
      <c r="S6" s="17" t="n">
        <v>0.08201388888888889</v>
      </c>
      <c r="T6" s="17" t="n">
        <v>0.03006944444444444</v>
      </c>
      <c r="U6" s="16" t="n"/>
      <c r="V6" s="16" t="n"/>
      <c r="W6" s="17" t="n">
        <v>0.06721064814814814</v>
      </c>
      <c r="X6" s="19" t="n">
        <v>0.08331018518518518</v>
      </c>
      <c r="Y6" s="17" t="n">
        <v>0.07765046296296296</v>
      </c>
      <c r="Z6" s="17" t="n">
        <v>0.04940972222222222</v>
      </c>
      <c r="AA6" s="15" t="n"/>
      <c r="AB6" s="24" t="n">
        <v>0</v>
      </c>
      <c r="AC6" s="24" t="n">
        <v>0</v>
      </c>
      <c r="AD6" s="15" t="n"/>
      <c r="AE6" s="15" t="n"/>
      <c r="AF6" s="15" t="n"/>
      <c r="AG6" s="15" t="n"/>
      <c r="AH6" s="15" t="n"/>
      <c r="AI6" s="18">
        <f>SUM(D6:AH6)</f>
        <v/>
      </c>
      <c r="AJ6" s="18" t="n">
        <v>0.9829282407407407</v>
      </c>
      <c r="AK6" s="18">
        <f>AJ6-AI6</f>
        <v/>
      </c>
      <c r="AL6" s="18" t="n">
        <v>0.09284722222222222</v>
      </c>
      <c r="AM6" s="18" t="n">
        <v>0.004224537037037037</v>
      </c>
      <c r="AN6" s="14" t="n"/>
    </row>
    <row r="7" ht="17.1" customHeight="1">
      <c r="A7" s="13" t="inlineStr">
        <is>
          <t>BECIANI ANDREA</t>
        </is>
      </c>
      <c r="B7" s="14" t="inlineStr">
        <is>
          <t>BCNNDR82P16D773D</t>
        </is>
      </c>
      <c r="C7" s="13" t="inlineStr">
        <is>
          <t>La programmazione - Tecninf - Fondoconoscenza</t>
        </is>
      </c>
      <c r="D7" s="15" t="n"/>
      <c r="E7" s="15" t="n"/>
      <c r="F7" s="15" t="n"/>
      <c r="G7" s="16" t="n"/>
      <c r="H7" s="16" t="n"/>
      <c r="I7" s="15" t="n"/>
      <c r="J7" s="15" t="n"/>
      <c r="K7" s="15" t="n"/>
      <c r="L7" s="15" t="n"/>
      <c r="M7" s="15" t="n"/>
      <c r="N7" s="16" t="n"/>
      <c r="O7" s="16" t="n"/>
      <c r="P7" s="15" t="n"/>
      <c r="Q7" s="15" t="n"/>
      <c r="R7" s="15" t="n"/>
      <c r="S7" s="15" t="n"/>
      <c r="T7" s="15" t="n"/>
      <c r="U7" s="16" t="n"/>
      <c r="V7" s="16" t="n"/>
      <c r="W7" s="15" t="n"/>
      <c r="X7" s="15" t="n"/>
      <c r="Y7" s="15" t="n"/>
      <c r="Z7" s="15" t="n"/>
      <c r="AA7" s="15" t="n"/>
      <c r="AB7" s="16" t="n"/>
      <c r="AC7" s="16" t="n"/>
      <c r="AD7" s="15" t="n"/>
      <c r="AE7" s="15" t="n"/>
      <c r="AF7" s="15" t="n"/>
      <c r="AG7" s="15" t="n"/>
      <c r="AH7" s="15" t="n"/>
      <c r="AI7" s="18">
        <f>SUM(D7:AH7)</f>
        <v/>
      </c>
      <c r="AJ7" s="14" t="n"/>
      <c r="AK7" s="18">
        <f>AJ7-AI7</f>
        <v/>
      </c>
      <c r="AL7" s="14" t="n"/>
      <c r="AM7" s="14" t="n"/>
      <c r="AN7" s="14" t="n"/>
    </row>
    <row r="8" ht="17.1" customHeight="1">
      <c r="A8" s="13" t="inlineStr">
        <is>
          <t>BOONTAWEE JUTATIP</t>
        </is>
      </c>
      <c r="B8" s="14" t="inlineStr">
        <is>
          <t>BNTJTP78S54Z241U</t>
        </is>
      </c>
      <c r="C8" s="13" t="inlineStr">
        <is>
          <t>Project Management per il digitale - Tecninf - Fondoconoscenza</t>
        </is>
      </c>
      <c r="D8" s="15" t="n"/>
      <c r="E8" s="15" t="n"/>
      <c r="F8" s="15" t="n"/>
      <c r="G8" s="16" t="n"/>
      <c r="H8" s="16" t="n"/>
      <c r="I8" s="15" t="n"/>
      <c r="J8" s="15" t="n"/>
      <c r="K8" s="15" t="n"/>
      <c r="L8" s="15" t="n"/>
      <c r="M8" s="15" t="n"/>
      <c r="N8" s="16" t="n"/>
      <c r="O8" s="16" t="n"/>
      <c r="P8" s="15" t="n"/>
      <c r="Q8" s="15" t="n"/>
      <c r="R8" s="15" t="n"/>
      <c r="S8" s="15" t="n"/>
      <c r="T8" s="15" t="n"/>
      <c r="U8" s="16" t="n"/>
      <c r="V8" s="16" t="n"/>
      <c r="W8" s="15" t="n"/>
      <c r="X8" s="15" t="n"/>
      <c r="Y8" s="15" t="n"/>
      <c r="Z8" s="15" t="n"/>
      <c r="AA8" s="15" t="n"/>
      <c r="AB8" s="16" t="n"/>
      <c r="AC8" s="16" t="n"/>
      <c r="AD8" s="15" t="n"/>
      <c r="AE8" s="15" t="n"/>
      <c r="AF8" s="15" t="n"/>
      <c r="AG8" s="15" t="n"/>
      <c r="AH8" s="15" t="n"/>
      <c r="AI8" s="18">
        <f>SUM(D8:AH8)</f>
        <v/>
      </c>
      <c r="AJ8" s="14" t="n"/>
      <c r="AK8" s="18">
        <f>AJ8-AI8</f>
        <v/>
      </c>
      <c r="AL8" s="14" t="n"/>
      <c r="AM8" s="14" t="n"/>
      <c r="AN8" s="14" t="n"/>
    </row>
    <row r="9" ht="17.1" customHeight="1">
      <c r="A9" s="13" t="inlineStr">
        <is>
          <t>BUTTINELLI GIORGIA</t>
        </is>
      </c>
      <c r="B9" s="14" t="inlineStr">
        <is>
          <t>BTTGRG97S59G274Q</t>
        </is>
      </c>
      <c r="C9" s="13" t="inlineStr">
        <is>
          <t>Big Data - Tecninf - Fondoconoscenza</t>
        </is>
      </c>
      <c r="D9" s="15" t="n"/>
      <c r="E9" s="15" t="n"/>
      <c r="F9" s="15" t="n"/>
      <c r="G9" s="16" t="n"/>
      <c r="H9" s="16" t="n"/>
      <c r="I9" s="19" t="n">
        <v>0.06460648148148149</v>
      </c>
      <c r="J9" s="17" t="n">
        <v>0.02690972222222222</v>
      </c>
      <c r="K9" s="19" t="n">
        <v>0.1122685185185185</v>
      </c>
      <c r="L9" s="15" t="n"/>
      <c r="M9" s="15" t="n"/>
      <c r="N9" s="16" t="n"/>
      <c r="O9" s="16" t="n"/>
      <c r="P9" s="15" t="n"/>
      <c r="Q9" s="19" t="n">
        <v>0.1045833333333333</v>
      </c>
      <c r="R9" s="17" t="n">
        <v>0.1959375</v>
      </c>
      <c r="S9" s="17" t="n">
        <v>0.1325462962962963</v>
      </c>
      <c r="T9" s="15" t="n"/>
      <c r="U9" s="16" t="n"/>
      <c r="V9" s="16" t="n"/>
      <c r="W9" s="17" t="n">
        <v>0.08085648148148149</v>
      </c>
      <c r="X9" s="17" t="n">
        <v>0.08171296296296296</v>
      </c>
      <c r="Y9" s="17" t="n">
        <v>0.2280208333333333</v>
      </c>
      <c r="Z9" s="19" t="n">
        <v>0.2239236111111111</v>
      </c>
      <c r="AA9" s="17" t="n">
        <v>0.2809837962962963</v>
      </c>
      <c r="AB9" s="16" t="n"/>
      <c r="AC9" s="16" t="n"/>
      <c r="AD9" s="17" t="n">
        <v>0.1940277777777778</v>
      </c>
      <c r="AE9" s="17" t="n">
        <v>0.1758912037037037</v>
      </c>
      <c r="AF9" s="17" t="n">
        <v>0.266712962962963</v>
      </c>
      <c r="AG9" s="17" t="n">
        <v>0.1062268518518519</v>
      </c>
      <c r="AH9" s="15" t="n"/>
      <c r="AI9" s="18">
        <f>SUM(D9:AH9)</f>
        <v/>
      </c>
      <c r="AJ9" s="18" t="n">
        <v>2.316770833333333</v>
      </c>
      <c r="AK9" s="18">
        <f>AJ9-AI9</f>
        <v/>
      </c>
      <c r="AL9" s="14" t="n"/>
      <c r="AM9" s="18" t="n">
        <v>0.0415625</v>
      </c>
      <c r="AN9" s="14" t="n"/>
    </row>
    <row r="10" ht="17.1" customHeight="1">
      <c r="A10" s="13" t="inlineStr">
        <is>
          <t>CARABLUT VICTOR</t>
        </is>
      </c>
      <c r="B10" s="14" t="inlineStr">
        <is>
          <t>CRBVTR94A11Z140B</t>
        </is>
      </c>
      <c r="C10" s="13" t="inlineStr">
        <is>
          <t>Sicurezza Informatica - Tecninf - Fondoconoscenza</t>
        </is>
      </c>
      <c r="D10" s="15" t="n"/>
      <c r="E10" s="15" t="n"/>
      <c r="F10" s="15" t="n"/>
      <c r="G10" s="16" t="n"/>
      <c r="H10" s="16" t="n"/>
      <c r="I10" s="15" t="n"/>
      <c r="J10" s="15" t="n"/>
      <c r="K10" s="15" t="n"/>
      <c r="L10" s="15" t="n"/>
      <c r="M10" s="15" t="n"/>
      <c r="N10" s="16" t="n"/>
      <c r="O10" s="16" t="n"/>
      <c r="P10" s="17" t="n">
        <v>0.0440162037037037</v>
      </c>
      <c r="Q10" s="17" t="n">
        <v>0.1900925925925926</v>
      </c>
      <c r="R10" s="17" t="n">
        <v>0.228287037037037</v>
      </c>
      <c r="S10" s="17" t="n">
        <v>0.25875</v>
      </c>
      <c r="T10" s="17" t="n">
        <v>0.09253472222222223</v>
      </c>
      <c r="U10" s="16" t="n"/>
      <c r="V10" s="16" t="n"/>
      <c r="W10" s="17" t="n">
        <v>0.08981481481481482</v>
      </c>
      <c r="X10" s="17" t="n">
        <v>0.123587962962963</v>
      </c>
      <c r="Y10" s="17" t="n">
        <v>0.1118171296296296</v>
      </c>
      <c r="Z10" s="17" t="n">
        <v>0.1229976851851852</v>
      </c>
      <c r="AA10" s="17" t="n">
        <v>0.2179976851851852</v>
      </c>
      <c r="AB10" s="16" t="n"/>
      <c r="AC10" s="16" t="n"/>
      <c r="AD10" s="17" t="n">
        <v>0.1836111111111111</v>
      </c>
      <c r="AE10" s="17" t="n">
        <v>0.2128125</v>
      </c>
      <c r="AF10" s="17" t="n">
        <v>0.1830555555555556</v>
      </c>
      <c r="AG10" s="15" t="n"/>
      <c r="AH10" s="17" t="n">
        <v>0.1726273148148148</v>
      </c>
      <c r="AI10" s="18">
        <f>SUM(D10:AH10)</f>
        <v/>
      </c>
      <c r="AJ10" s="18" t="n">
        <v>2.232002314814815</v>
      </c>
      <c r="AK10" s="18">
        <f>AJ10-AI10</f>
        <v/>
      </c>
      <c r="AL10" s="14" t="n"/>
      <c r="AM10" s="14" t="n"/>
      <c r="AN10" s="14" t="n"/>
    </row>
    <row r="11" ht="17.1" customHeight="1">
      <c r="A11" s="13" t="inlineStr">
        <is>
          <t>CECCONI ANTHONY</t>
        </is>
      </c>
      <c r="B11" s="14" t="inlineStr">
        <is>
          <t>CCCNHN91D19H501W</t>
        </is>
      </c>
      <c r="C11" s="13" t="inlineStr">
        <is>
          <t>La programmazione - Tecninf - Fondoconoscenza</t>
        </is>
      </c>
      <c r="D11" s="15" t="n"/>
      <c r="E11" s="15" t="n"/>
      <c r="F11" s="15" t="n"/>
      <c r="G11" s="16" t="n"/>
      <c r="H11" s="16" t="n"/>
      <c r="I11" s="17" t="n">
        <v>0.08284722222222222</v>
      </c>
      <c r="J11" s="17" t="n">
        <v>0.03480324074074074</v>
      </c>
      <c r="K11" s="15" t="n"/>
      <c r="L11" s="17" t="n">
        <v>0.07039351851851852</v>
      </c>
      <c r="M11" s="15" t="n"/>
      <c r="N11" s="16" t="n"/>
      <c r="O11" s="16" t="n"/>
      <c r="P11" s="17" t="n">
        <v>0.1505324074074074</v>
      </c>
      <c r="Q11" s="17" t="n">
        <v>0.04739583333333333</v>
      </c>
      <c r="R11" s="15" t="n"/>
      <c r="S11" s="17" t="n">
        <v>0.04502314814814815</v>
      </c>
      <c r="T11" s="17" t="n">
        <v>0.02537037037037037</v>
      </c>
      <c r="U11" s="16" t="n"/>
      <c r="V11" s="16" t="n"/>
      <c r="W11" s="17" t="n">
        <v>0.07984953703703704</v>
      </c>
      <c r="X11" s="15" t="n"/>
      <c r="Y11" s="17" t="n">
        <v>0.119525462962963</v>
      </c>
      <c r="Z11" s="17" t="n">
        <v>0.05200231481481481</v>
      </c>
      <c r="AA11" s="15" t="n"/>
      <c r="AB11" s="16" t="n"/>
      <c r="AC11" s="16" t="n"/>
      <c r="AD11" s="17" t="n">
        <v>0.1888194444444445</v>
      </c>
      <c r="AE11" s="15" t="n"/>
      <c r="AF11" s="15" t="n"/>
      <c r="AG11" s="15" t="n"/>
      <c r="AH11" s="15" t="n"/>
      <c r="AI11" s="18">
        <f>SUM(D11:AH11)</f>
        <v/>
      </c>
      <c r="AJ11" s="18" t="n">
        <v>0.8965625</v>
      </c>
      <c r="AK11" s="18">
        <f>AJ11-AI11</f>
        <v/>
      </c>
      <c r="AL11" s="14" t="n"/>
      <c r="AM11" s="14" t="n"/>
      <c r="AN11" s="14" t="n"/>
    </row>
    <row r="12" ht="17.1" customHeight="1">
      <c r="A12" s="13" t="inlineStr">
        <is>
          <t>CHIARA GOBBI MARIA</t>
        </is>
      </c>
      <c r="B12" s="14" t="inlineStr">
        <is>
          <t>GBBMCH73R57H501G</t>
        </is>
      </c>
      <c r="C12" s="13" t="inlineStr">
        <is>
          <t>L'ufficio digitale - Tecninf - Fondoconoscenza</t>
        </is>
      </c>
      <c r="D12" s="17" t="n">
        <v>0.1833333333333333</v>
      </c>
      <c r="E12" s="17" t="n">
        <v>0.1710648148148148</v>
      </c>
      <c r="F12" s="17" t="n">
        <v>0.1555902777777778</v>
      </c>
      <c r="G12" s="16" t="n"/>
      <c r="H12" s="16" t="n"/>
      <c r="I12" s="17" t="n">
        <v>0.177662037037037</v>
      </c>
      <c r="J12" s="15" t="n"/>
      <c r="K12" s="17" t="n">
        <v>0.1087962962962963</v>
      </c>
      <c r="L12" s="17" t="n">
        <v>0.0812962962962963</v>
      </c>
      <c r="M12" s="17" t="n">
        <v>0.08131944444444444</v>
      </c>
      <c r="N12" s="16" t="n"/>
      <c r="O12" s="16" t="n"/>
      <c r="P12" s="15" t="n"/>
      <c r="Q12" s="17" t="n">
        <v>0.03475694444444444</v>
      </c>
      <c r="R12" s="17" t="n">
        <v>0.123900462962963</v>
      </c>
      <c r="S12" s="17" t="n">
        <v>0.1060069444444444</v>
      </c>
      <c r="T12" s="17" t="n">
        <v>0.2030555555555555</v>
      </c>
      <c r="U12" s="16" t="n"/>
      <c r="V12" s="16" t="n"/>
      <c r="W12" s="15" t="n"/>
      <c r="X12" s="15" t="n"/>
      <c r="Y12" s="15" t="n"/>
      <c r="Z12" s="15" t="n"/>
      <c r="AA12" s="15" t="n"/>
      <c r="AB12" s="16" t="n"/>
      <c r="AC12" s="16" t="n"/>
      <c r="AD12" s="15" t="n"/>
      <c r="AE12" s="15" t="n"/>
      <c r="AF12" s="15" t="n"/>
      <c r="AG12" s="15" t="n"/>
      <c r="AH12" s="15" t="n"/>
      <c r="AI12" s="18">
        <f>SUM(D12:AH12)</f>
        <v/>
      </c>
      <c r="AJ12" s="18" t="n">
        <v>1.426782407407407</v>
      </c>
      <c r="AK12" s="18">
        <f>AJ12-AI12</f>
        <v/>
      </c>
      <c r="AL12" s="14" t="n"/>
      <c r="AM12" s="14" t="n"/>
      <c r="AN12" s="14" t="n"/>
    </row>
    <row r="13" ht="17.1" customHeight="1">
      <c r="A13" s="13" t="inlineStr">
        <is>
          <t>LIMETTI ION</t>
        </is>
      </c>
      <c r="B13" s="14" t="inlineStr">
        <is>
          <t>LMTNIO94M03Z129S</t>
        </is>
      </c>
      <c r="C13" s="13" t="inlineStr">
        <is>
          <t>Big Data - Tecninf - Fondoconoscenza</t>
        </is>
      </c>
      <c r="D13" s="19" t="n">
        <v>0.1923842592592593</v>
      </c>
      <c r="E13" s="19" t="n">
        <v>0.1963657407407407</v>
      </c>
      <c r="F13" s="17" t="n">
        <v>0.1772685185185185</v>
      </c>
      <c r="G13" s="16" t="n"/>
      <c r="H13" s="16" t="n"/>
      <c r="I13" s="17" t="n">
        <v>0.08924768518518518</v>
      </c>
      <c r="J13" s="17" t="n">
        <v>0.05304398148148148</v>
      </c>
      <c r="K13" s="17" t="n">
        <v>0.1006712962962963</v>
      </c>
      <c r="L13" s="17" t="n">
        <v>0.1103472222222222</v>
      </c>
      <c r="M13" s="17" t="n">
        <v>0.07467592592592592</v>
      </c>
      <c r="N13" s="16" t="n"/>
      <c r="O13" s="16" t="n"/>
      <c r="P13" s="17" t="n">
        <v>0.2283333333333333</v>
      </c>
      <c r="Q13" s="17" t="n">
        <v>0.2599652777777778</v>
      </c>
      <c r="R13" s="17" t="n">
        <v>0.08672453703703703</v>
      </c>
      <c r="S13" s="17" t="n">
        <v>0.0409375</v>
      </c>
      <c r="T13" s="17" t="n">
        <v>0.1220138888888889</v>
      </c>
      <c r="U13" s="16" t="n"/>
      <c r="V13" s="16" t="n"/>
      <c r="W13" s="19" t="n">
        <v>0.2386458333333333</v>
      </c>
      <c r="X13" s="17" t="n">
        <v>0.2143287037037037</v>
      </c>
      <c r="Y13" s="17" t="n">
        <v>0.2202893518518519</v>
      </c>
      <c r="Z13" s="17" t="n">
        <v>0.1048263888888889</v>
      </c>
      <c r="AA13" s="19" t="n">
        <v>0.10625</v>
      </c>
      <c r="AB13" s="16" t="n"/>
      <c r="AC13" s="16" t="n"/>
      <c r="AD13" s="17" t="n">
        <v>0.1257986111111111</v>
      </c>
      <c r="AE13" s="17" t="n">
        <v>0.1153587962962963</v>
      </c>
      <c r="AF13" s="17" t="n">
        <v>0.03354166666666666</v>
      </c>
      <c r="AG13" s="17" t="n">
        <v>0.01667824074074074</v>
      </c>
      <c r="AH13" s="17" t="n">
        <v>0.03875</v>
      </c>
      <c r="AI13" s="18">
        <f>SUM(D13:AH13)</f>
        <v/>
      </c>
      <c r="AJ13" s="18" t="n">
        <v>2.958969907407408</v>
      </c>
      <c r="AK13" s="18">
        <f>AJ13-AI13</f>
        <v/>
      </c>
      <c r="AL13" s="14" t="n"/>
      <c r="AM13" s="18" t="n">
        <v>0.01252314814814815</v>
      </c>
      <c r="AN13" s="14" t="n"/>
    </row>
    <row r="14" ht="17.1" customHeight="1">
      <c r="A14" s="13" t="inlineStr">
        <is>
          <t>LUCA' VERONICA</t>
        </is>
      </c>
      <c r="B14" s="14" t="inlineStr">
        <is>
          <t>LCUVNC85L52D976T</t>
        </is>
      </c>
      <c r="C14" s="13" t="inlineStr">
        <is>
          <t>Big Data - Tecninf - Fondoconoscenza</t>
        </is>
      </c>
      <c r="D14" s="15" t="n"/>
      <c r="E14" s="15" t="n"/>
      <c r="F14" s="15" t="n"/>
      <c r="G14" s="16" t="n"/>
      <c r="H14" s="16" t="n"/>
      <c r="I14" s="15" t="n"/>
      <c r="J14" s="15" t="n"/>
      <c r="K14" s="15" t="n"/>
      <c r="L14" s="15" t="n"/>
      <c r="M14" s="15" t="n"/>
      <c r="N14" s="16" t="n"/>
      <c r="O14" s="16" t="n"/>
      <c r="P14" s="15" t="n"/>
      <c r="Q14" s="15" t="n"/>
      <c r="R14" s="15" t="n"/>
      <c r="S14" s="15" t="n"/>
      <c r="T14" s="15" t="n"/>
      <c r="U14" s="16" t="n"/>
      <c r="V14" s="16" t="n"/>
      <c r="W14" s="15" t="n"/>
      <c r="X14" s="15" t="n"/>
      <c r="Y14" s="15" t="n"/>
      <c r="Z14" s="15" t="n"/>
      <c r="AA14" s="15" t="n"/>
      <c r="AB14" s="16" t="n"/>
      <c r="AC14" s="16" t="n"/>
      <c r="AD14" s="15" t="n"/>
      <c r="AE14" s="15" t="n"/>
      <c r="AF14" s="15" t="n"/>
      <c r="AG14" s="15" t="n"/>
      <c r="AH14" s="15" t="n"/>
      <c r="AI14" s="18">
        <f>SUM(D14:AH14)</f>
        <v/>
      </c>
      <c r="AJ14" s="14" t="n"/>
      <c r="AK14" s="18">
        <f>AJ14-AI14</f>
        <v/>
      </c>
      <c r="AL14" s="14" t="n"/>
      <c r="AM14" s="14" t="n"/>
      <c r="AN14" s="14" t="n"/>
    </row>
    <row r="15" ht="17.1" customHeight="1">
      <c r="A15" s="13" t="inlineStr">
        <is>
          <t>MAGNANINI LORENZO</t>
        </is>
      </c>
      <c r="B15" s="14" t="inlineStr">
        <is>
          <t>MGNLNZ97M04H501T</t>
        </is>
      </c>
      <c r="C15" s="13" t="inlineStr">
        <is>
          <t>La programmazione - Tecninf - Fondoconoscenza</t>
        </is>
      </c>
      <c r="D15" s="15" t="n"/>
      <c r="E15" s="15" t="n"/>
      <c r="F15" s="15" t="n"/>
      <c r="G15" s="16" t="n"/>
      <c r="H15" s="16" t="n"/>
      <c r="I15" s="15" t="n"/>
      <c r="J15" s="15" t="n"/>
      <c r="K15" s="15" t="n"/>
      <c r="L15" s="15" t="n"/>
      <c r="M15" s="15" t="n"/>
      <c r="N15" s="16" t="n"/>
      <c r="O15" s="16" t="n"/>
      <c r="P15" s="15" t="n"/>
      <c r="Q15" s="15" t="n"/>
      <c r="R15" s="15" t="n"/>
      <c r="S15" s="15" t="n"/>
      <c r="T15" s="15" t="n"/>
      <c r="U15" s="16" t="n"/>
      <c r="V15" s="16" t="n"/>
      <c r="W15" s="15" t="n"/>
      <c r="X15" s="15" t="n"/>
      <c r="Y15" s="15" t="n"/>
      <c r="Z15" s="15" t="n"/>
      <c r="AA15" s="15" t="n"/>
      <c r="AB15" s="16" t="n"/>
      <c r="AC15" s="16" t="n"/>
      <c r="AD15" s="15" t="n"/>
      <c r="AE15" s="15" t="n"/>
      <c r="AF15" s="15" t="n"/>
      <c r="AG15" s="15" t="n"/>
      <c r="AH15" s="15" t="n"/>
      <c r="AI15" s="18">
        <f>SUM(D15:AH15)</f>
        <v/>
      </c>
      <c r="AJ15" s="14" t="n"/>
      <c r="AK15" s="18">
        <f>AJ15-AI15</f>
        <v/>
      </c>
      <c r="AL15" s="14" t="n"/>
      <c r="AM15" s="14" t="n"/>
      <c r="AN15" s="14" t="n"/>
    </row>
    <row r="16" ht="17.1" customHeight="1">
      <c r="A16" s="13" t="inlineStr">
        <is>
          <t>MARIANI ALESSIA</t>
        </is>
      </c>
      <c r="B16" s="14" t="inlineStr">
        <is>
          <t>MRNLSS75L68H501L</t>
        </is>
      </c>
      <c r="C16" s="13" t="inlineStr">
        <is>
          <t>Big Data - Tecninf - Fondoconoscenza</t>
        </is>
      </c>
      <c r="D16" s="15" t="n"/>
      <c r="E16" s="15" t="n"/>
      <c r="F16" s="15" t="n"/>
      <c r="G16" s="16" t="n"/>
      <c r="H16" s="16" t="n"/>
      <c r="I16" s="17" t="n">
        <v>0.05471064814814815</v>
      </c>
      <c r="J16" s="15" t="n"/>
      <c r="K16" s="15" t="n"/>
      <c r="L16" s="17" t="n">
        <v>0.1109143518518518</v>
      </c>
      <c r="M16" s="17" t="n">
        <v>0.2386805555555556</v>
      </c>
      <c r="N16" s="16" t="n"/>
      <c r="O16" s="16" t="n"/>
      <c r="P16" s="17" t="n">
        <v>0.2262268518518518</v>
      </c>
      <c r="Q16" s="15" t="n"/>
      <c r="R16" s="15" t="n"/>
      <c r="S16" s="15" t="n"/>
      <c r="T16" s="15" t="n"/>
      <c r="U16" s="16" t="n"/>
      <c r="V16" s="16" t="n"/>
      <c r="W16" s="15" t="n"/>
      <c r="X16" s="17" t="n">
        <v>0.02388888888888889</v>
      </c>
      <c r="Y16" s="17" t="n">
        <v>0.1106712962962963</v>
      </c>
      <c r="Z16" s="17" t="n">
        <v>0.1090046296296296</v>
      </c>
      <c r="AA16" s="17" t="n">
        <v>0.1101967592592593</v>
      </c>
      <c r="AB16" s="16" t="n"/>
      <c r="AC16" s="16" t="n"/>
      <c r="AD16" s="15" t="n"/>
      <c r="AE16" s="15" t="n"/>
      <c r="AF16" s="15" t="n"/>
      <c r="AG16" s="15" t="n"/>
      <c r="AH16" s="15" t="n"/>
      <c r="AI16" s="18">
        <f>SUM(D16:AH16)</f>
        <v/>
      </c>
      <c r="AJ16" s="18" t="n">
        <v>0.9842939814814815</v>
      </c>
      <c r="AK16" s="18">
        <f>AJ16-AI16</f>
        <v/>
      </c>
      <c r="AL16" s="14" t="n"/>
      <c r="AM16" s="14" t="n"/>
      <c r="AN16" s="14" t="n"/>
    </row>
    <row r="17" ht="17.1" customHeight="1">
      <c r="A17" s="13" t="inlineStr">
        <is>
          <t>MASCELLINO GIULIO</t>
        </is>
      </c>
      <c r="B17" s="14" t="inlineStr">
        <is>
          <t>MSCGLI83C04G511L</t>
        </is>
      </c>
      <c r="C17" s="13" t="inlineStr">
        <is>
          <t>Big Data - Tecninf - Fondoconoscenza</t>
        </is>
      </c>
      <c r="D17" s="15" t="n"/>
      <c r="E17" s="15" t="n"/>
      <c r="F17" s="15" t="n"/>
      <c r="G17" s="16" t="n"/>
      <c r="H17" s="16" t="n"/>
      <c r="I17" s="15" t="n"/>
      <c r="J17" s="15" t="n"/>
      <c r="K17" s="15" t="n"/>
      <c r="L17" s="15" t="n"/>
      <c r="M17" s="15" t="n"/>
      <c r="N17" s="16" t="n"/>
      <c r="O17" s="16" t="n"/>
      <c r="P17" s="15" t="n"/>
      <c r="Q17" s="15" t="n"/>
      <c r="R17" s="15" t="n"/>
      <c r="S17" s="15" t="n"/>
      <c r="T17" s="15" t="n"/>
      <c r="U17" s="16" t="n"/>
      <c r="V17" s="16" t="n"/>
      <c r="W17" s="15" t="n"/>
      <c r="X17" s="15" t="n"/>
      <c r="Y17" s="15" t="n"/>
      <c r="Z17" s="15" t="n"/>
      <c r="AA17" s="15" t="n"/>
      <c r="AB17" s="16" t="n"/>
      <c r="AC17" s="16" t="n"/>
      <c r="AD17" s="15" t="n"/>
      <c r="AE17" s="15" t="n"/>
      <c r="AF17" s="15" t="n"/>
      <c r="AG17" s="15" t="n"/>
      <c r="AH17" s="15" t="n"/>
      <c r="AI17" s="18">
        <f>SUM(D17:AH17)</f>
        <v/>
      </c>
      <c r="AJ17" s="14" t="n"/>
      <c r="AK17" s="18">
        <f>AJ17-AI17</f>
        <v/>
      </c>
      <c r="AL17" s="14" t="n"/>
      <c r="AM17" s="14" t="n"/>
      <c r="AN17" s="14" t="n"/>
    </row>
    <row r="18" ht="17.1" customHeight="1">
      <c r="A18" s="13" t="inlineStr">
        <is>
          <t>PACPACO MICHAEL DEPOLLY</t>
        </is>
      </c>
      <c r="B18" s="14" t="inlineStr">
        <is>
          <t>PCPMHL00R03H501G</t>
        </is>
      </c>
      <c r="C18" s="13" t="inlineStr">
        <is>
          <t>La programmazione - Tecninf - Fondoconoscenza</t>
        </is>
      </c>
      <c r="D18" s="15" t="n"/>
      <c r="E18" s="15" t="n"/>
      <c r="F18" s="15" t="n"/>
      <c r="G18" s="16" t="n"/>
      <c r="H18" s="16" t="n"/>
      <c r="I18" s="15" t="n"/>
      <c r="J18" s="15" t="n"/>
      <c r="K18" s="15" t="n"/>
      <c r="L18" s="15" t="n"/>
      <c r="M18" s="15" t="n"/>
      <c r="N18" s="16" t="n"/>
      <c r="O18" s="16" t="n"/>
      <c r="P18" s="17" t="n">
        <v>0.1088194444444444</v>
      </c>
      <c r="Q18" s="15" t="n"/>
      <c r="R18" s="17" t="n">
        <v>0.05592592592592593</v>
      </c>
      <c r="S18" s="17" t="n">
        <v>0.01469907407407407</v>
      </c>
      <c r="T18" s="17" t="n">
        <v>0.1278356481481482</v>
      </c>
      <c r="U18" s="16" t="n"/>
      <c r="V18" s="16" t="n"/>
      <c r="W18" s="17" t="n">
        <v>0.01943287037037037</v>
      </c>
      <c r="X18" s="15" t="n"/>
      <c r="Y18" s="17" t="n">
        <v>0.04940972222222222</v>
      </c>
      <c r="Z18" s="17" t="n">
        <v>0.02002314814814815</v>
      </c>
      <c r="AA18" s="15" t="n"/>
      <c r="AB18" s="16" t="n"/>
      <c r="AC18" s="16" t="n"/>
      <c r="AD18" s="17" t="n">
        <v>0.01439814814814815</v>
      </c>
      <c r="AE18" s="17" t="n">
        <v>0.04935185185185186</v>
      </c>
      <c r="AF18" s="17" t="n">
        <v>0.01255787037037037</v>
      </c>
      <c r="AG18" s="17" t="n">
        <v>0.1186921296296296</v>
      </c>
      <c r="AH18" s="17" t="n">
        <v>0.06853009259259259</v>
      </c>
      <c r="AI18" s="18">
        <f>SUM(D18:AH18)</f>
        <v/>
      </c>
      <c r="AJ18" s="18" t="n">
        <v>0.6596759259259259</v>
      </c>
      <c r="AK18" s="18">
        <f>AJ18-AI18</f>
        <v/>
      </c>
      <c r="AL18" s="14" t="n"/>
      <c r="AM18" s="14" t="n"/>
      <c r="AN18" s="14" t="n"/>
    </row>
    <row r="19" ht="17.1" customHeight="1">
      <c r="A19" s="13" t="inlineStr">
        <is>
          <t>PASSIO ROBERTA</t>
        </is>
      </c>
      <c r="B19" s="14" t="inlineStr">
        <is>
          <t>PSSRRT76L56H501O</t>
        </is>
      </c>
      <c r="C19" s="13" t="inlineStr">
        <is>
          <t>Sicurezza Informatica - Tecninf - Fondoconoscenza</t>
        </is>
      </c>
      <c r="D19" s="17" t="n">
        <v>0.02682870370370371</v>
      </c>
      <c r="E19" s="17" t="n">
        <v>0.06476851851851852</v>
      </c>
      <c r="F19" s="15" t="n"/>
      <c r="G19" s="16" t="n"/>
      <c r="H19" s="16" t="n"/>
      <c r="I19" s="17" t="n">
        <v>0.1556597222222222</v>
      </c>
      <c r="J19" s="17" t="n">
        <v>0.1374652777777778</v>
      </c>
      <c r="K19" s="17" t="n">
        <v>0.1190509259259259</v>
      </c>
      <c r="L19" s="17" t="n">
        <v>0.1662152777777778</v>
      </c>
      <c r="M19" s="17" t="n">
        <v>0.2012384259259259</v>
      </c>
      <c r="N19" s="16" t="n"/>
      <c r="O19" s="16" t="n"/>
      <c r="P19" s="17" t="n">
        <v>0.2105902777777778</v>
      </c>
      <c r="Q19" s="17" t="n">
        <v>0.2105787037037037</v>
      </c>
      <c r="R19" s="15" t="n"/>
      <c r="S19" s="15" t="n"/>
      <c r="T19" s="15" t="n"/>
      <c r="U19" s="16" t="n"/>
      <c r="V19" s="16" t="n"/>
      <c r="W19" s="15" t="n"/>
      <c r="X19" s="17" t="n">
        <v>0.1953472222222222</v>
      </c>
      <c r="Y19" s="17" t="n">
        <v>0.06070601851851852</v>
      </c>
      <c r="Z19" s="17" t="n">
        <v>0.1991550925925926</v>
      </c>
      <c r="AA19" s="17" t="n">
        <v>0.2177083333333333</v>
      </c>
      <c r="AB19" s="16" t="n"/>
      <c r="AC19" s="16" t="n"/>
      <c r="AD19" s="17" t="n">
        <v>0.2275810185185185</v>
      </c>
      <c r="AE19" s="17" t="n">
        <v>0.2069328703703704</v>
      </c>
      <c r="AF19" s="17" t="n">
        <v>0.190775462962963</v>
      </c>
      <c r="AG19" s="17" t="n">
        <v>0.1951967592592593</v>
      </c>
      <c r="AH19" s="17" t="n">
        <v>0.2229513888888889</v>
      </c>
      <c r="AI19" s="18">
        <f>SUM(D19:AH19)</f>
        <v/>
      </c>
      <c r="AJ19" s="18" t="n">
        <v>3.00875</v>
      </c>
      <c r="AK19" s="18">
        <f>AJ19-AI19</f>
        <v/>
      </c>
      <c r="AL19" s="14" t="n"/>
      <c r="AM19" s="14" t="n"/>
      <c r="AN19" s="14" t="n"/>
    </row>
    <row r="20" ht="17.1" customHeight="1">
      <c r="A20" s="13" t="inlineStr">
        <is>
          <t>PERILLA GIAN LEO GAMES</t>
        </is>
      </c>
      <c r="B20" s="14" t="inlineStr">
        <is>
          <t>PRLGLG98M18H501X</t>
        </is>
      </c>
      <c r="C20" s="13" t="inlineStr">
        <is>
          <t>Big Data - Tecninf - Fondoconoscenza</t>
        </is>
      </c>
      <c r="D20" s="15" t="n"/>
      <c r="E20" s="15" t="n"/>
      <c r="F20" s="15" t="n"/>
      <c r="G20" s="16" t="n"/>
      <c r="H20" s="16" t="n"/>
      <c r="I20" s="15" t="n"/>
      <c r="J20" s="15" t="n"/>
      <c r="K20" s="15" t="n"/>
      <c r="L20" s="15" t="n"/>
      <c r="M20" s="15" t="n"/>
      <c r="N20" s="16" t="n"/>
      <c r="O20" s="16" t="n"/>
      <c r="P20" s="15" t="n"/>
      <c r="Q20" s="15" t="n"/>
      <c r="R20" s="15" t="n"/>
      <c r="S20" s="15" t="n"/>
      <c r="T20" s="15" t="n"/>
      <c r="U20" s="16" t="n"/>
      <c r="V20" s="16" t="n"/>
      <c r="W20" s="15" t="n"/>
      <c r="X20" s="15" t="n"/>
      <c r="Y20" s="15" t="n"/>
      <c r="Z20" s="15" t="n"/>
      <c r="AA20" s="15" t="n"/>
      <c r="AB20" s="16" t="n"/>
      <c r="AC20" s="16" t="n"/>
      <c r="AD20" s="15" t="n"/>
      <c r="AE20" s="15" t="n"/>
      <c r="AF20" s="15" t="n"/>
      <c r="AG20" s="15" t="n"/>
      <c r="AH20" s="15" t="n"/>
      <c r="AI20" s="18">
        <f>SUM(D20:AH20)</f>
        <v/>
      </c>
      <c r="AJ20" s="14" t="n"/>
      <c r="AK20" s="18">
        <f>AJ20-AI20</f>
        <v/>
      </c>
      <c r="AL20" s="14" t="n"/>
      <c r="AM20" s="14" t="n"/>
      <c r="AN20" s="14" t="n"/>
    </row>
    <row r="21" ht="17.1" customHeight="1">
      <c r="A21" s="13" t="inlineStr">
        <is>
          <t>PINNA ROBERTO CAO</t>
        </is>
      </c>
      <c r="B21" s="14" t="inlineStr">
        <is>
          <t>CPNRRT66D27H501V</t>
        </is>
      </c>
      <c r="C21" s="13" t="inlineStr">
        <is>
          <t>Project Management per il digitale - Tecninf - Fondoconoscenza</t>
        </is>
      </c>
      <c r="D21" s="15" t="n"/>
      <c r="E21" s="15" t="n"/>
      <c r="F21" s="15" t="n"/>
      <c r="G21" s="16" t="n"/>
      <c r="H21" s="16" t="n"/>
      <c r="I21" s="15" t="n"/>
      <c r="J21" s="15" t="n"/>
      <c r="K21" s="15" t="n"/>
      <c r="L21" s="15" t="n"/>
      <c r="M21" s="15" t="n"/>
      <c r="N21" s="16" t="n"/>
      <c r="O21" s="16" t="n"/>
      <c r="P21" s="15" t="n"/>
      <c r="Q21" s="15" t="n"/>
      <c r="R21" s="15" t="n"/>
      <c r="S21" s="15" t="n"/>
      <c r="T21" s="15" t="n"/>
      <c r="U21" s="16" t="n"/>
      <c r="V21" s="16" t="n"/>
      <c r="W21" s="15" t="n"/>
      <c r="X21" s="15" t="n"/>
      <c r="Y21" s="15" t="n"/>
      <c r="Z21" s="15" t="n"/>
      <c r="AA21" s="15" t="n"/>
      <c r="AB21" s="16" t="n"/>
      <c r="AC21" s="16" t="n"/>
      <c r="AD21" s="15" t="n"/>
      <c r="AE21" s="15" t="n"/>
      <c r="AF21" s="15" t="n"/>
      <c r="AG21" s="15" t="n"/>
      <c r="AH21" s="15" t="n"/>
      <c r="AI21" s="18">
        <f>SUM(D21:AH21)</f>
        <v/>
      </c>
      <c r="AJ21" s="14" t="n"/>
      <c r="AK21" s="18">
        <f>AJ21-AI21</f>
        <v/>
      </c>
      <c r="AL21" s="14" t="n"/>
      <c r="AM21" s="14" t="n"/>
      <c r="AN21" s="14" t="n"/>
    </row>
    <row r="22" ht="17.1" customHeight="1">
      <c r="A22" s="13" t="inlineStr">
        <is>
          <t>POGGI ROBERTO</t>
        </is>
      </c>
      <c r="B22" s="14" t="inlineStr">
        <is>
          <t>PGGRRT91H07F839Q</t>
        </is>
      </c>
      <c r="C22" s="13" t="inlineStr">
        <is>
          <t>Big Data - Tecninf - Fondoconoscenza</t>
        </is>
      </c>
      <c r="D22" s="15" t="n"/>
      <c r="E22" s="15" t="n"/>
      <c r="F22" s="15" t="n"/>
      <c r="G22" s="16" t="n"/>
      <c r="H22" s="16" t="n"/>
      <c r="I22" s="15" t="n"/>
      <c r="J22" s="15" t="n"/>
      <c r="K22" s="15" t="n"/>
      <c r="L22" s="15" t="n"/>
      <c r="M22" s="15" t="n"/>
      <c r="N22" s="16" t="n"/>
      <c r="O22" s="16" t="n"/>
      <c r="P22" s="15" t="n"/>
      <c r="Q22" s="15" t="n"/>
      <c r="R22" s="15" t="n"/>
      <c r="S22" s="15" t="n"/>
      <c r="T22" s="15" t="n"/>
      <c r="U22" s="16" t="n"/>
      <c r="V22" s="16" t="n"/>
      <c r="W22" s="15" t="n"/>
      <c r="X22" s="15" t="n"/>
      <c r="Y22" s="15" t="n"/>
      <c r="Z22" s="15" t="n"/>
      <c r="AA22" s="15" t="n"/>
      <c r="AB22" s="16" t="n"/>
      <c r="AC22" s="16" t="n"/>
      <c r="AD22" s="15" t="n"/>
      <c r="AE22" s="15" t="n"/>
      <c r="AF22" s="15" t="n"/>
      <c r="AG22" s="15" t="n"/>
      <c r="AH22" s="15" t="n"/>
      <c r="AI22" s="18">
        <f>SUM(D22:AH22)</f>
        <v/>
      </c>
      <c r="AJ22" s="14" t="n"/>
      <c r="AK22" s="18">
        <f>AJ22-AI22</f>
        <v/>
      </c>
      <c r="AL22" s="14" t="n"/>
      <c r="AM22" s="14" t="n"/>
      <c r="AN22" s="14" t="n"/>
    </row>
    <row r="23" ht="17.1" customHeight="1">
      <c r="A23" s="13" t="inlineStr">
        <is>
          <t>PRASAD RAKESH KUMAR</t>
        </is>
      </c>
      <c r="B23" s="14" t="inlineStr">
        <is>
          <t>PRSRSH87S19H501S</t>
        </is>
      </c>
      <c r="C23" s="13" t="inlineStr">
        <is>
          <t>Sicurezza Informatica - Tecninf - Fondoconoscenza</t>
        </is>
      </c>
      <c r="D23" s="15" t="n"/>
      <c r="E23" s="15" t="n"/>
      <c r="F23" s="15" t="n"/>
      <c r="G23" s="16" t="n"/>
      <c r="H23" s="16" t="n"/>
      <c r="I23" s="15" t="n"/>
      <c r="J23" s="15" t="n"/>
      <c r="K23" s="15" t="n"/>
      <c r="L23" s="15" t="n"/>
      <c r="M23" s="15" t="n"/>
      <c r="N23" s="16" t="n"/>
      <c r="O23" s="16" t="n"/>
      <c r="P23" s="15" t="n"/>
      <c r="Q23" s="15" t="n"/>
      <c r="R23" s="15" t="n"/>
      <c r="S23" s="15" t="n"/>
      <c r="T23" s="15" t="n"/>
      <c r="U23" s="16" t="n"/>
      <c r="V23" s="16" t="n"/>
      <c r="W23" s="15" t="n"/>
      <c r="X23" s="15" t="n"/>
      <c r="Y23" s="15" t="n"/>
      <c r="Z23" s="15" t="n"/>
      <c r="AA23" s="15" t="n"/>
      <c r="AB23" s="16" t="n"/>
      <c r="AC23" s="16" t="n"/>
      <c r="AD23" s="15" t="n"/>
      <c r="AE23" s="15" t="n"/>
      <c r="AF23" s="15" t="n"/>
      <c r="AG23" s="15" t="n"/>
      <c r="AH23" s="15" t="n"/>
      <c r="AI23" s="18">
        <f>SUM(D23:AH23)</f>
        <v/>
      </c>
      <c r="AJ23" s="14" t="n"/>
      <c r="AK23" s="18">
        <f>AJ23-AI23</f>
        <v/>
      </c>
      <c r="AL23" s="14" t="n"/>
      <c r="AM23" s="14" t="n"/>
      <c r="AN23" s="14" t="n"/>
    </row>
    <row r="24" ht="17.1" customHeight="1">
      <c r="A24" s="13" t="inlineStr">
        <is>
          <t>PUDDU RAIMONDO</t>
        </is>
      </c>
      <c r="B24" s="14" t="inlineStr">
        <is>
          <t>PDDRND75R08H501S</t>
        </is>
      </c>
      <c r="C24" s="13" t="inlineStr">
        <is>
          <t>Big Data - Tecninf - Fondoconoscenza</t>
        </is>
      </c>
      <c r="D24" s="15" t="n"/>
      <c r="E24" s="15" t="n"/>
      <c r="F24" s="15" t="n"/>
      <c r="G24" s="16" t="n"/>
      <c r="H24" s="16" t="n"/>
      <c r="I24" s="15" t="n"/>
      <c r="J24" s="15" t="n"/>
      <c r="K24" s="17" t="n">
        <v>0.03072916666666667</v>
      </c>
      <c r="L24" s="15" t="n"/>
      <c r="M24" s="15" t="n"/>
      <c r="N24" s="16" t="n"/>
      <c r="O24" s="16" t="n"/>
      <c r="P24" s="15" t="n"/>
      <c r="Q24" s="15" t="n"/>
      <c r="R24" s="15" t="n"/>
      <c r="S24" s="15" t="n"/>
      <c r="T24" s="15" t="n"/>
      <c r="U24" s="16" t="n"/>
      <c r="V24" s="16" t="n"/>
      <c r="W24" s="15" t="n"/>
      <c r="X24" s="17" t="n">
        <v>0.02699074074074074</v>
      </c>
      <c r="Y24" s="17" t="n">
        <v>0.03519675925925926</v>
      </c>
      <c r="Z24" s="17" t="n">
        <v>0.03358796296296297</v>
      </c>
      <c r="AA24" s="15" t="n"/>
      <c r="AB24" s="16" t="n"/>
      <c r="AC24" s="16" t="n"/>
      <c r="AD24" s="15" t="n"/>
      <c r="AE24" s="17" t="n">
        <v>0.02241898148148148</v>
      </c>
      <c r="AF24" s="15" t="n"/>
      <c r="AG24" s="17" t="n">
        <v>0.01605324074074074</v>
      </c>
      <c r="AH24" s="17" t="n">
        <v>0.06791666666666667</v>
      </c>
      <c r="AI24" s="18">
        <f>SUM(D24:AH24)</f>
        <v/>
      </c>
      <c r="AJ24" s="18" t="n">
        <v>0.2328935185185185</v>
      </c>
      <c r="AK24" s="18">
        <f>AJ24-AI24</f>
        <v/>
      </c>
      <c r="AL24" s="14" t="n"/>
      <c r="AM24" s="14" t="n"/>
      <c r="AN24" s="14" t="n"/>
    </row>
    <row r="25" ht="17.1" customHeight="1">
      <c r="A25" s="13" t="inlineStr">
        <is>
          <t>RANIERI FRANCESCO</t>
        </is>
      </c>
      <c r="B25" s="14" t="inlineStr">
        <is>
          <t>RNRFNC99L28H501B</t>
        </is>
      </c>
      <c r="C25" s="13" t="inlineStr">
        <is>
          <t>La programmazione - Tecninf - Fondoconoscenza</t>
        </is>
      </c>
      <c r="D25" s="15" t="n"/>
      <c r="E25" s="15" t="n"/>
      <c r="F25" s="15" t="n"/>
      <c r="G25" s="16" t="n"/>
      <c r="H25" s="16" t="n"/>
      <c r="I25" s="17" t="n">
        <v>0.165462962962963</v>
      </c>
      <c r="J25" s="15" t="n"/>
      <c r="K25" s="15" t="n"/>
      <c r="L25" s="15" t="n"/>
      <c r="M25" s="15" t="n"/>
      <c r="N25" s="16" t="n"/>
      <c r="O25" s="16" t="n"/>
      <c r="P25" s="17" t="n">
        <v>0.1698263888888889</v>
      </c>
      <c r="Q25" s="15" t="n"/>
      <c r="R25" s="15" t="n"/>
      <c r="S25" s="15" t="n"/>
      <c r="T25" s="15" t="n"/>
      <c r="U25" s="16" t="n"/>
      <c r="V25" s="16" t="n"/>
      <c r="W25" s="15" t="n"/>
      <c r="X25" s="15" t="n"/>
      <c r="Y25" s="17" t="n">
        <v>0.1053472222222222</v>
      </c>
      <c r="Z25" s="15" t="n"/>
      <c r="AA25" s="15" t="n"/>
      <c r="AB25" s="16" t="n"/>
      <c r="AC25" s="16" t="n"/>
      <c r="AD25" s="15" t="n"/>
      <c r="AE25" s="15" t="n"/>
      <c r="AF25" s="15" t="n"/>
      <c r="AG25" s="15" t="n"/>
      <c r="AH25" s="15" t="n"/>
      <c r="AI25" s="18">
        <f>SUM(D25:AH25)</f>
        <v/>
      </c>
      <c r="AJ25" s="18" t="n">
        <v>0.4406365740740741</v>
      </c>
      <c r="AK25" s="18">
        <f>AJ25-AI25</f>
        <v/>
      </c>
      <c r="AL25" s="14" t="n"/>
      <c r="AM25" s="14" t="n"/>
      <c r="AN25" s="14" t="n"/>
    </row>
    <row r="26" ht="17.1" customHeight="1">
      <c r="A26" s="13" t="inlineStr">
        <is>
          <t>ROSA JEREMY DELA</t>
        </is>
      </c>
      <c r="B26" s="14" t="inlineStr">
        <is>
          <t>DLRJMY02A20H501A</t>
        </is>
      </c>
      <c r="C26" s="13" t="inlineStr">
        <is>
          <t>Big Data - Tecninf - Fondoconoscenza</t>
        </is>
      </c>
      <c r="D26" s="15" t="n"/>
      <c r="E26" s="15" t="n"/>
      <c r="F26" s="15" t="n"/>
      <c r="G26" s="16" t="n"/>
      <c r="H26" s="16" t="n"/>
      <c r="I26" s="15" t="n"/>
      <c r="J26" s="15" t="n"/>
      <c r="K26" s="15" t="n"/>
      <c r="L26" s="15" t="n"/>
      <c r="M26" s="15" t="n"/>
      <c r="N26" s="16" t="n"/>
      <c r="O26" s="16" t="n"/>
      <c r="P26" s="15" t="n"/>
      <c r="Q26" s="15" t="n"/>
      <c r="R26" s="15" t="n"/>
      <c r="S26" s="15" t="n"/>
      <c r="T26" s="15" t="n"/>
      <c r="U26" s="16" t="n"/>
      <c r="V26" s="16" t="n"/>
      <c r="W26" s="15" t="n"/>
      <c r="X26" s="17" t="n">
        <v>0.02142361111111111</v>
      </c>
      <c r="Y26" s="15" t="n"/>
      <c r="Z26" s="15" t="n"/>
      <c r="AA26" s="15" t="n"/>
      <c r="AB26" s="16" t="n"/>
      <c r="AC26" s="16" t="n"/>
      <c r="AD26" s="15" t="n"/>
      <c r="AE26" s="17" t="n">
        <v>0.04026620370370371</v>
      </c>
      <c r="AF26" s="15" t="n"/>
      <c r="AG26" s="15" t="n"/>
      <c r="AH26" s="15" t="n"/>
      <c r="AI26" s="18">
        <f>SUM(D26:AH26)</f>
        <v/>
      </c>
      <c r="AJ26" s="18" t="n">
        <v>0.06168981481481482</v>
      </c>
      <c r="AK26" s="18">
        <f>AJ26-AI26</f>
        <v/>
      </c>
      <c r="AL26" s="14" t="n"/>
      <c r="AM26" s="14" t="n"/>
      <c r="AN26" s="14" t="n"/>
    </row>
    <row r="27" ht="17.1" customHeight="1">
      <c r="A27" s="13" t="inlineStr">
        <is>
          <t>SALPIETRO GIANLUCA</t>
        </is>
      </c>
      <c r="B27" s="14" t="inlineStr">
        <is>
          <t>SLPGLC81B17G377J</t>
        </is>
      </c>
      <c r="C27" s="13" t="inlineStr">
        <is>
          <t>Big Data - Tecninf - Fondoconoscenza</t>
        </is>
      </c>
      <c r="D27" s="15" t="n"/>
      <c r="E27" s="15" t="n"/>
      <c r="F27" s="15" t="n"/>
      <c r="G27" s="16" t="n"/>
      <c r="H27" s="16" t="n"/>
      <c r="I27" s="15" t="n"/>
      <c r="J27" s="17" t="n">
        <v>0.1846527777777778</v>
      </c>
      <c r="K27" s="15" t="n"/>
      <c r="L27" s="17" t="n">
        <v>0.1311342592592593</v>
      </c>
      <c r="M27" s="15" t="n"/>
      <c r="N27" s="16" t="n"/>
      <c r="O27" s="16" t="n"/>
      <c r="P27" s="17" t="n">
        <v>0.1099768518518519</v>
      </c>
      <c r="Q27" s="17" t="n">
        <v>0.1899537037037037</v>
      </c>
      <c r="R27" s="17" t="n">
        <v>0.03186342592592593</v>
      </c>
      <c r="S27" s="17" t="n">
        <v>0.1212847222222222</v>
      </c>
      <c r="T27" s="15" t="n"/>
      <c r="U27" s="16" t="n"/>
      <c r="V27" s="16" t="n"/>
      <c r="W27" s="19" t="n">
        <v>0.1599884259259259</v>
      </c>
      <c r="X27" s="17" t="n">
        <v>0.0519212962962963</v>
      </c>
      <c r="Y27" s="17" t="n">
        <v>0.03574074074074074</v>
      </c>
      <c r="Z27" s="19" t="n">
        <v>0.1552546296296296</v>
      </c>
      <c r="AA27" s="17" t="n">
        <v>0.02883101851851852</v>
      </c>
      <c r="AB27" s="16" t="n"/>
      <c r="AC27" s="16" t="n"/>
      <c r="AD27" s="19" t="n">
        <v>0.09248842592592593</v>
      </c>
      <c r="AE27" s="17" t="n">
        <v>0.04163194444444444</v>
      </c>
      <c r="AF27" s="17" t="n">
        <v>0.1548032407407407</v>
      </c>
      <c r="AG27" s="17" t="n">
        <v>0.05063657407407408</v>
      </c>
      <c r="AH27" s="15" t="n"/>
      <c r="AI27" s="18">
        <f>SUM(D27:AH27)</f>
        <v/>
      </c>
      <c r="AJ27" s="18" t="n">
        <v>1.543344907407407</v>
      </c>
      <c r="AK27" s="18">
        <f>AJ27-AI27</f>
        <v/>
      </c>
      <c r="AL27" s="14" t="n"/>
      <c r="AM27" s="18" t="n">
        <v>0.00318287037037037</v>
      </c>
      <c r="AN27" s="14" t="n"/>
    </row>
    <row r="28" ht="17.1" customHeight="1">
      <c r="A28" s="13" t="inlineStr">
        <is>
          <t>SALVATI CARMINE</t>
        </is>
      </c>
      <c r="B28" s="14" t="inlineStr">
        <is>
          <t>SLVCMN80D14D086Z</t>
        </is>
      </c>
      <c r="C28" s="13" t="inlineStr">
        <is>
          <t>Big Data - Tecninf - Fondoconoscenza</t>
        </is>
      </c>
      <c r="D28" s="15" t="n"/>
      <c r="E28" s="15" t="n"/>
      <c r="F28" s="15" t="n"/>
      <c r="G28" s="16" t="n"/>
      <c r="H28" s="16" t="n"/>
      <c r="I28" s="15" t="n"/>
      <c r="J28" s="15" t="n"/>
      <c r="K28" s="15" t="n"/>
      <c r="L28" s="15" t="n"/>
      <c r="M28" s="15" t="n"/>
      <c r="N28" s="16" t="n"/>
      <c r="O28" s="16" t="n"/>
      <c r="P28" s="17" t="n">
        <v>0.05040509259259259</v>
      </c>
      <c r="Q28" s="17" t="n">
        <v>0.1472569444444445</v>
      </c>
      <c r="R28" s="17" t="n">
        <v>0.1819907407407407</v>
      </c>
      <c r="S28" s="17" t="n">
        <v>0.1276273148148148</v>
      </c>
      <c r="T28" s="17" t="n">
        <v>0.08302083333333334</v>
      </c>
      <c r="U28" s="16" t="n"/>
      <c r="V28" s="16" t="n"/>
      <c r="W28" s="17" t="n">
        <v>0.2375462962962963</v>
      </c>
      <c r="X28" s="17" t="n">
        <v>0.1968287037037037</v>
      </c>
      <c r="Y28" s="17" t="n">
        <v>0.2119444444444444</v>
      </c>
      <c r="Z28" s="17" t="n">
        <v>0.1916203703703704</v>
      </c>
      <c r="AA28" s="17" t="n">
        <v>0.1051041666666667</v>
      </c>
      <c r="AB28" s="16" t="n"/>
      <c r="AC28" s="16" t="n"/>
      <c r="AD28" s="17" t="n">
        <v>0.1368171296296296</v>
      </c>
      <c r="AE28" s="17" t="n">
        <v>0.001921296296296296</v>
      </c>
      <c r="AF28" s="17" t="n">
        <v>0.07391203703703704</v>
      </c>
      <c r="AG28" s="17" t="n">
        <v>0.1247106481481482</v>
      </c>
      <c r="AH28" s="17" t="n">
        <v>0.1007986111111111</v>
      </c>
      <c r="AI28" s="18">
        <f>SUM(D28:AH28)</f>
        <v/>
      </c>
      <c r="AJ28" s="18" t="n">
        <v>1.97150462962963</v>
      </c>
      <c r="AK28" s="18">
        <f>AJ28-AI28</f>
        <v/>
      </c>
      <c r="AL28" s="14" t="n"/>
      <c r="AM28" s="14" t="n"/>
      <c r="AN28" s="14" t="n"/>
    </row>
    <row r="29" ht="17.1" customHeight="1">
      <c r="A29" s="13" t="inlineStr">
        <is>
          <t>SAMBRINI ALESSIA</t>
        </is>
      </c>
      <c r="B29" s="14" t="inlineStr">
        <is>
          <t>SMBLSS74D47H501E</t>
        </is>
      </c>
      <c r="C29" s="13" t="inlineStr">
        <is>
          <t>Big Data - Tecninf - Fondoconoscenza</t>
        </is>
      </c>
      <c r="D29" s="15" t="n"/>
      <c r="E29" s="15" t="n"/>
      <c r="F29" s="15" t="n"/>
      <c r="G29" s="16" t="n"/>
      <c r="H29" s="16" t="n"/>
      <c r="I29" s="15" t="n"/>
      <c r="J29" s="15" t="n"/>
      <c r="K29" s="15" t="n"/>
      <c r="L29" s="15" t="n"/>
      <c r="M29" s="15" t="n"/>
      <c r="N29" s="16" t="n"/>
      <c r="O29" s="16" t="n"/>
      <c r="P29" s="15" t="n"/>
      <c r="Q29" s="15" t="n"/>
      <c r="R29" s="15" t="n"/>
      <c r="S29" s="15" t="n"/>
      <c r="T29" s="15" t="n"/>
      <c r="U29" s="16" t="n"/>
      <c r="V29" s="16" t="n"/>
      <c r="W29" s="15" t="n"/>
      <c r="X29" s="15" t="n"/>
      <c r="Y29" s="15" t="n"/>
      <c r="Z29" s="15" t="n"/>
      <c r="AA29" s="15" t="n"/>
      <c r="AB29" s="16" t="n"/>
      <c r="AC29" s="16" t="n"/>
      <c r="AD29" s="19" t="n">
        <v>0.1057175925925926</v>
      </c>
      <c r="AE29" s="15" t="n"/>
      <c r="AF29" s="15" t="n"/>
      <c r="AG29" s="17" t="n">
        <v>0.1203472222222222</v>
      </c>
      <c r="AH29" s="15" t="n"/>
      <c r="AI29" s="18">
        <f>SUM(D29:AH29)</f>
        <v/>
      </c>
      <c r="AJ29" s="18" t="n">
        <v>0.2261458333333333</v>
      </c>
      <c r="AK29" s="18">
        <f>AJ29-AI29</f>
        <v/>
      </c>
      <c r="AL29" s="14" t="n"/>
      <c r="AM29" s="18" t="n">
        <v>8.101851851851852e-05</v>
      </c>
      <c r="AN29" s="14" t="n"/>
    </row>
    <row r="30" ht="17.1" customHeight="1">
      <c r="A30" s="13" t="inlineStr">
        <is>
          <t>SAVAIANO SILVIA</t>
        </is>
      </c>
      <c r="B30" s="14" t="inlineStr">
        <is>
          <t>SVNSLV89A46H501I</t>
        </is>
      </c>
      <c r="C30" s="13" t="inlineStr">
        <is>
          <t>La programmazione - Tecninf - Fondoconoscenza</t>
        </is>
      </c>
      <c r="D30" s="15" t="n"/>
      <c r="E30" s="15" t="n"/>
      <c r="F30" s="15" t="n"/>
      <c r="G30" s="16" t="n"/>
      <c r="H30" s="16" t="n"/>
      <c r="I30" s="15" t="n"/>
      <c r="J30" s="15" t="n"/>
      <c r="K30" s="15" t="n"/>
      <c r="L30" s="15" t="n"/>
      <c r="M30" s="15" t="n"/>
      <c r="N30" s="16" t="n"/>
      <c r="O30" s="16" t="n"/>
      <c r="P30" s="15" t="n"/>
      <c r="Q30" s="15" t="n"/>
      <c r="R30" s="15" t="n"/>
      <c r="S30" s="15" t="n"/>
      <c r="T30" s="15" t="n"/>
      <c r="U30" s="16" t="n"/>
      <c r="V30" s="16" t="n"/>
      <c r="W30" s="15" t="n"/>
      <c r="X30" s="15" t="n"/>
      <c r="Y30" s="15" t="n"/>
      <c r="Z30" s="15" t="n"/>
      <c r="AA30" s="19" t="n">
        <v>0.1073148148148148</v>
      </c>
      <c r="AB30" s="16" t="n"/>
      <c r="AC30" s="16" t="n"/>
      <c r="AD30" s="17" t="n">
        <v>0.1429166666666667</v>
      </c>
      <c r="AE30" s="17" t="n">
        <v>0.2193171296296296</v>
      </c>
      <c r="AF30" s="17" t="n">
        <v>0.202962962962963</v>
      </c>
      <c r="AG30" s="19" t="n">
        <v>0.06119212962962963</v>
      </c>
      <c r="AH30" s="17" t="n">
        <v>0.1384837962962963</v>
      </c>
      <c r="AI30" s="18">
        <f>SUM(D30:AH30)</f>
        <v/>
      </c>
      <c r="AJ30" s="18" t="n">
        <v>0.8982986111111111</v>
      </c>
      <c r="AK30" s="18">
        <f>AJ30-AI30</f>
        <v/>
      </c>
      <c r="AL30" s="14" t="n"/>
      <c r="AM30" s="18" t="n">
        <v>0.02611111111111111</v>
      </c>
      <c r="AN30" s="14" t="n"/>
    </row>
    <row r="31" ht="17.1" customHeight="1">
      <c r="A31" s="13" t="inlineStr">
        <is>
          <t>SCALVEDI FILIPPO</t>
        </is>
      </c>
      <c r="B31" s="14" t="inlineStr">
        <is>
          <t>SCLFPP97S05H501K</t>
        </is>
      </c>
      <c r="C31" s="13" t="inlineStr">
        <is>
          <t>Big Data - Tecninf - Fondoconoscenza</t>
        </is>
      </c>
      <c r="D31" s="15" t="n"/>
      <c r="E31" s="15" t="n"/>
      <c r="F31" s="15" t="n"/>
      <c r="G31" s="16" t="n"/>
      <c r="H31" s="16" t="n"/>
      <c r="I31" s="15" t="n"/>
      <c r="J31" s="15" t="n"/>
      <c r="K31" s="15" t="n"/>
      <c r="L31" s="15" t="n"/>
      <c r="M31" s="15" t="n"/>
      <c r="N31" s="16" t="n"/>
      <c r="O31" s="16" t="n"/>
      <c r="P31" s="15" t="n"/>
      <c r="Q31" s="15" t="n"/>
      <c r="R31" s="15" t="n"/>
      <c r="S31" s="17" t="n">
        <v>0.02115740740740741</v>
      </c>
      <c r="T31" s="15" t="n"/>
      <c r="U31" s="16" t="n"/>
      <c r="V31" s="16" t="n"/>
      <c r="W31" s="15" t="n"/>
      <c r="X31" s="15" t="n"/>
      <c r="Y31" s="15" t="n"/>
      <c r="Z31" s="15" t="n"/>
      <c r="AA31" s="15" t="n"/>
      <c r="AB31" s="16" t="n"/>
      <c r="AC31" s="16" t="n"/>
      <c r="AD31" s="15" t="n"/>
      <c r="AE31" s="15" t="n"/>
      <c r="AF31" s="15" t="n"/>
      <c r="AG31" s="15" t="n"/>
      <c r="AH31" s="15" t="n"/>
      <c r="AI31" s="18">
        <f>SUM(D31:AH31)</f>
        <v/>
      </c>
      <c r="AJ31" s="18" t="n">
        <v>0.02115740740740741</v>
      </c>
      <c r="AK31" s="18">
        <f>AJ31-AI31</f>
        <v/>
      </c>
      <c r="AL31" s="14" t="n"/>
      <c r="AM31" s="14" t="n"/>
      <c r="AN31" s="14" t="n"/>
    </row>
    <row r="32" ht="17.1" customHeight="1">
      <c r="A32" s="13" t="inlineStr">
        <is>
          <t>SCRIMIERI TIZIANO</t>
        </is>
      </c>
      <c r="B32" s="14" t="inlineStr">
        <is>
          <t>SCRTZN80A09H501I</t>
        </is>
      </c>
      <c r="C32" s="13" t="inlineStr">
        <is>
          <t>Big Data - Tecninf - Fondoconoscenza</t>
        </is>
      </c>
      <c r="D32" s="15" t="n"/>
      <c r="E32" s="15" t="n"/>
      <c r="F32" s="15" t="n"/>
      <c r="G32" s="16" t="n"/>
      <c r="H32" s="16" t="n"/>
      <c r="I32" s="15" t="n"/>
      <c r="J32" s="15" t="n"/>
      <c r="K32" s="15" t="n"/>
      <c r="L32" s="15" t="n"/>
      <c r="M32" s="15" t="n"/>
      <c r="N32" s="16" t="n"/>
      <c r="O32" s="16" t="n"/>
      <c r="P32" s="15" t="n"/>
      <c r="Q32" s="15" t="n"/>
      <c r="R32" s="15" t="n"/>
      <c r="S32" s="15" t="n"/>
      <c r="T32" s="15" t="n"/>
      <c r="U32" s="16" t="n"/>
      <c r="V32" s="16" t="n"/>
      <c r="W32" s="15" t="n"/>
      <c r="X32" s="15" t="n"/>
      <c r="Y32" s="15" t="n"/>
      <c r="Z32" s="15" t="n"/>
      <c r="AA32" s="15" t="n"/>
      <c r="AB32" s="16" t="n"/>
      <c r="AC32" s="16" t="n"/>
      <c r="AD32" s="15" t="n"/>
      <c r="AE32" s="15" t="n"/>
      <c r="AF32" s="15" t="n"/>
      <c r="AG32" s="15" t="n"/>
      <c r="AH32" s="15" t="n"/>
      <c r="AI32" s="18">
        <f>SUM(D32:AH32)</f>
        <v/>
      </c>
      <c r="AJ32" s="14" t="n"/>
      <c r="AK32" s="18">
        <f>AJ32-AI32</f>
        <v/>
      </c>
      <c r="AL32" s="14" t="n"/>
      <c r="AM32" s="14" t="n"/>
      <c r="AN32" s="14" t="n"/>
    </row>
    <row r="33" ht="17.1" customHeight="1">
      <c r="A33" s="13" t="inlineStr">
        <is>
          <t>STASIUC DENIS</t>
        </is>
      </c>
      <c r="B33" s="14" t="inlineStr">
        <is>
          <t>STSDNS91B05Z140T</t>
        </is>
      </c>
      <c r="C33" s="13" t="inlineStr">
        <is>
          <t>Big Data - Tecninf - Fondoconoscenza</t>
        </is>
      </c>
      <c r="D33" s="17" t="n">
        <v>0.0158912037037037</v>
      </c>
      <c r="E33" s="17" t="n">
        <v>0.122974537037037</v>
      </c>
      <c r="F33" s="17" t="n">
        <v>0.09917824074074075</v>
      </c>
      <c r="G33" s="16" t="n"/>
      <c r="H33" s="16" t="n"/>
      <c r="I33" s="17" t="n">
        <v>0.04666666666666667</v>
      </c>
      <c r="J33" s="17" t="n">
        <v>0.05795138888888889</v>
      </c>
      <c r="K33" s="17" t="n">
        <v>0.1291666666666667</v>
      </c>
      <c r="L33" s="17" t="n">
        <v>0.1677199074074074</v>
      </c>
      <c r="M33" s="17" t="n">
        <v>0.1039583333333333</v>
      </c>
      <c r="N33" s="16" t="n"/>
      <c r="O33" s="16" t="n"/>
      <c r="P33" s="17" t="n">
        <v>0.1090162037037037</v>
      </c>
      <c r="Q33" s="17" t="n">
        <v>0.1445833333333333</v>
      </c>
      <c r="R33" s="17" t="n">
        <v>0.1349884259259259</v>
      </c>
      <c r="S33" s="15" t="n"/>
      <c r="T33" s="17" t="n">
        <v>0.1421296296296296</v>
      </c>
      <c r="U33" s="16" t="n"/>
      <c r="V33" s="16" t="n"/>
      <c r="W33" s="17" t="n">
        <v>0.1261805555555555</v>
      </c>
      <c r="X33" s="17" t="n">
        <v>0.02920138888888889</v>
      </c>
      <c r="Y33" s="19" t="n">
        <v>0.1345138888888889</v>
      </c>
      <c r="Z33" s="17" t="n">
        <v>0.136400462962963</v>
      </c>
      <c r="AA33" s="17" t="n">
        <v>0.2212268518518518</v>
      </c>
      <c r="AB33" s="16" t="n"/>
      <c r="AC33" s="16" t="n"/>
      <c r="AD33" s="15" t="n"/>
      <c r="AE33" s="17" t="n">
        <v>0.0737037037037037</v>
      </c>
      <c r="AF33" s="17" t="n">
        <v>0.1240393518518518</v>
      </c>
      <c r="AG33" s="17" t="n">
        <v>0.1257638888888889</v>
      </c>
      <c r="AH33" s="19" t="n">
        <v>0.1327546296296296</v>
      </c>
      <c r="AI33" s="18">
        <f>SUM(D33:AH33)</f>
        <v/>
      </c>
      <c r="AJ33" s="18" t="n">
        <v>2.381631944444444</v>
      </c>
      <c r="AK33" s="18">
        <f>AJ33-AI33</f>
        <v/>
      </c>
      <c r="AL33" s="14" t="n"/>
      <c r="AM33" s="18" t="n">
        <v>0.003622685185185185</v>
      </c>
      <c r="AN33" s="14" t="n"/>
    </row>
    <row r="34" ht="17.1" customHeight="1">
      <c r="A34" s="13" t="inlineStr">
        <is>
          <t>TARISCIOTTI ANDREA</t>
        </is>
      </c>
      <c r="B34" s="14" t="inlineStr">
        <is>
          <t>TRSNDR97M24H501B</t>
        </is>
      </c>
      <c r="C34" s="13" t="inlineStr">
        <is>
          <t>La programmazione - Tecninf - Fondoconoscenza</t>
        </is>
      </c>
      <c r="D34" s="15" t="n"/>
      <c r="E34" s="15" t="n"/>
      <c r="F34" s="15" t="n"/>
      <c r="G34" s="16" t="n"/>
      <c r="H34" s="16" t="n"/>
      <c r="I34" s="15" t="n"/>
      <c r="J34" s="15" t="n"/>
      <c r="K34" s="15" t="n"/>
      <c r="L34" s="15" t="n"/>
      <c r="M34" s="15" t="n"/>
      <c r="N34" s="16" t="n"/>
      <c r="O34" s="16" t="n"/>
      <c r="P34" s="15" t="n"/>
      <c r="Q34" s="15" t="n"/>
      <c r="R34" s="15" t="n"/>
      <c r="S34" s="15" t="n"/>
      <c r="T34" s="15" t="n"/>
      <c r="U34" s="16" t="n"/>
      <c r="V34" s="16" t="n"/>
      <c r="W34" s="15" t="n"/>
      <c r="X34" s="15" t="n"/>
      <c r="Y34" s="15" t="n"/>
      <c r="Z34" s="15" t="n"/>
      <c r="AA34" s="15" t="n"/>
      <c r="AB34" s="16" t="n"/>
      <c r="AC34" s="16" t="n"/>
      <c r="AD34" s="15" t="n"/>
      <c r="AE34" s="15" t="n"/>
      <c r="AF34" s="15" t="n"/>
      <c r="AG34" s="15" t="n"/>
      <c r="AH34" s="15" t="n"/>
      <c r="AI34" s="18">
        <f>SUM(D34:AH34)</f>
        <v/>
      </c>
      <c r="AJ34" s="14" t="n"/>
      <c r="AK34" s="18">
        <f>AJ34-AI34</f>
        <v/>
      </c>
      <c r="AL34" s="14" t="n"/>
      <c r="AM34" s="14" t="n"/>
      <c r="AN34" s="14" t="n"/>
    </row>
    <row r="35" ht="17.1" customHeight="1">
      <c r="A35" s="13" t="inlineStr">
        <is>
          <t>TOCI ANTONETA</t>
        </is>
      </c>
      <c r="B35" s="14" t="inlineStr">
        <is>
          <t>TCONNT91H59Z100O</t>
        </is>
      </c>
      <c r="C35" s="13" t="inlineStr">
        <is>
          <t>La programmazione - Tecninf - Fondoconoscenza</t>
        </is>
      </c>
      <c r="D35" s="15" t="n"/>
      <c r="E35" s="15" t="n"/>
      <c r="F35" s="15" t="n"/>
      <c r="G35" s="16" t="n"/>
      <c r="H35" s="16" t="n"/>
      <c r="I35" s="15" t="n"/>
      <c r="J35" s="15" t="n"/>
      <c r="K35" s="15" t="n"/>
      <c r="L35" s="15" t="n"/>
      <c r="M35" s="15" t="n"/>
      <c r="N35" s="16" t="n"/>
      <c r="O35" s="16" t="n"/>
      <c r="P35" s="15" t="n"/>
      <c r="Q35" s="15" t="n"/>
      <c r="R35" s="15" t="n"/>
      <c r="S35" s="15" t="n"/>
      <c r="T35" s="15" t="n"/>
      <c r="U35" s="16" t="n"/>
      <c r="V35" s="16" t="n"/>
      <c r="W35" s="15" t="n"/>
      <c r="X35" s="15" t="n"/>
      <c r="Y35" s="15" t="n"/>
      <c r="Z35" s="15" t="n"/>
      <c r="AA35" s="15" t="n"/>
      <c r="AB35" s="16" t="n"/>
      <c r="AC35" s="16" t="n"/>
      <c r="AD35" s="15" t="n"/>
      <c r="AE35" s="15" t="n"/>
      <c r="AF35" s="15" t="n"/>
      <c r="AG35" s="15" t="n"/>
      <c r="AH35" s="15" t="n"/>
      <c r="AI35" s="18">
        <f>SUM(D35:AH35)</f>
        <v/>
      </c>
      <c r="AJ35" s="14" t="n"/>
      <c r="AK35" s="18">
        <f>AJ35-AI35</f>
        <v/>
      </c>
      <c r="AL35" s="14" t="n"/>
      <c r="AM35" s="14" t="n"/>
      <c r="AN35" s="14" t="n"/>
    </row>
    <row r="36" ht="17.1" customHeight="1">
      <c r="A36" s="13" t="inlineStr">
        <is>
          <t>VISWANATHAN SRIDHAR</t>
        </is>
      </c>
      <c r="B36" s="14" t="inlineStr">
        <is>
          <t>VSWSDH86S22Z222H</t>
        </is>
      </c>
      <c r="C36" s="13" t="inlineStr">
        <is>
          <t>Project Management per il digitale - Tecninf - Fondoconoscenza</t>
        </is>
      </c>
      <c r="D36" s="15" t="n"/>
      <c r="E36" s="15" t="n"/>
      <c r="F36" s="15" t="n"/>
      <c r="G36" s="16" t="n"/>
      <c r="H36" s="16" t="n"/>
      <c r="I36" s="15" t="n"/>
      <c r="J36" s="15" t="n"/>
      <c r="K36" s="15" t="n"/>
      <c r="L36" s="15" t="n"/>
      <c r="M36" s="15" t="n"/>
      <c r="N36" s="16" t="n"/>
      <c r="O36" s="16" t="n"/>
      <c r="P36" s="17" t="n">
        <v>0.02320601851851852</v>
      </c>
      <c r="Q36" s="17" t="n">
        <v>0.1956134259259259</v>
      </c>
      <c r="R36" s="17" t="n">
        <v>0.2806944444444445</v>
      </c>
      <c r="S36" s="17" t="n">
        <v>0.1642592592592593</v>
      </c>
      <c r="T36" s="19" t="n">
        <v>0.2434375</v>
      </c>
      <c r="U36" s="16" t="n"/>
      <c r="V36" s="16" t="n"/>
      <c r="W36" s="17" t="n">
        <v>0.2070833333333333</v>
      </c>
      <c r="X36" s="17" t="n">
        <v>0.2471759259259259</v>
      </c>
      <c r="Y36" s="17" t="n">
        <v>0.1659606481481481</v>
      </c>
      <c r="Z36" s="17" t="n">
        <v>0.3099305555555555</v>
      </c>
      <c r="AA36" s="17" t="n">
        <v>0.280150462962963</v>
      </c>
      <c r="AB36" s="16" t="n"/>
      <c r="AC36" s="16" t="n"/>
      <c r="AD36" s="17" t="n">
        <v>0.1910648148148148</v>
      </c>
      <c r="AE36" s="17" t="n">
        <v>0.2000925925925926</v>
      </c>
      <c r="AF36" s="17" t="n">
        <v>0.3064930555555556</v>
      </c>
      <c r="AG36" s="17" t="n">
        <v>0.2625694444444445</v>
      </c>
      <c r="AH36" s="25" t="n">
        <v>0.3333333333333333</v>
      </c>
      <c r="AI36" s="18">
        <f>SUM(D36:AH36)</f>
        <v/>
      </c>
      <c r="AJ36" s="18" t="n">
        <v>3.414988425925926</v>
      </c>
      <c r="AK36" s="18">
        <f>AJ36-AI36</f>
        <v/>
      </c>
      <c r="AL36" s="14" t="n"/>
      <c r="AM36" s="18" t="n">
        <v>0.0001273148148148148</v>
      </c>
      <c r="AN36" s="14" t="n"/>
    </row>
    <row r="37" ht="17.1" customHeight="1">
      <c r="A37" s="20" t="inlineStr">
        <is>
          <t>TOTALE</t>
        </is>
      </c>
      <c r="B37" s="21" t="n"/>
      <c r="C37" s="21" t="n"/>
      <c r="D37" s="22">
        <f>SUM(D4:D36)</f>
        <v/>
      </c>
      <c r="E37" s="22">
        <f>SUM(E4:E36)</f>
        <v/>
      </c>
      <c r="F37" s="22">
        <f>SUM(F4:F36)</f>
        <v/>
      </c>
      <c r="G37" s="22">
        <f>SUM(G4:G36)</f>
        <v/>
      </c>
      <c r="H37" s="22">
        <f>SUM(H4:H36)</f>
        <v/>
      </c>
      <c r="I37" s="22">
        <f>SUM(I4:I36)</f>
        <v/>
      </c>
      <c r="J37" s="22">
        <f>SUM(J4:J36)</f>
        <v/>
      </c>
      <c r="K37" s="22">
        <f>SUM(K4:K36)</f>
        <v/>
      </c>
      <c r="L37" s="22">
        <f>SUM(L4:L36)</f>
        <v/>
      </c>
      <c r="M37" s="22">
        <f>SUM(M4:M36)</f>
        <v/>
      </c>
      <c r="N37" s="22">
        <f>SUM(N4:N36)</f>
        <v/>
      </c>
      <c r="O37" s="22">
        <f>SUM(O4:O36)</f>
        <v/>
      </c>
      <c r="P37" s="22">
        <f>SUM(P4:P36)</f>
        <v/>
      </c>
      <c r="Q37" s="22">
        <f>SUM(Q4:Q36)</f>
        <v/>
      </c>
      <c r="R37" s="22">
        <f>SUM(R4:R36)</f>
        <v/>
      </c>
      <c r="S37" s="22">
        <f>SUM(S4:S36)</f>
        <v/>
      </c>
      <c r="T37" s="22">
        <f>SUM(T4:T36)</f>
        <v/>
      </c>
      <c r="U37" s="22">
        <f>SUM(U4:U36)</f>
        <v/>
      </c>
      <c r="V37" s="22">
        <f>SUM(V4:V36)</f>
        <v/>
      </c>
      <c r="W37" s="22">
        <f>SUM(W4:W36)</f>
        <v/>
      </c>
      <c r="X37" s="22">
        <f>SUM(X4:X36)</f>
        <v/>
      </c>
      <c r="Y37" s="22">
        <f>SUM(Y4:Y36)</f>
        <v/>
      </c>
      <c r="Z37" s="22">
        <f>SUM(Z4:Z36)</f>
        <v/>
      </c>
      <c r="AA37" s="22">
        <f>SUM(AA4:AA36)</f>
        <v/>
      </c>
      <c r="AB37" s="22">
        <f>SUM(AB4:AB36)</f>
        <v/>
      </c>
      <c r="AC37" s="22">
        <f>SUM(AC4:AC36)</f>
        <v/>
      </c>
      <c r="AD37" s="22">
        <f>SUM(AD4:AD36)</f>
        <v/>
      </c>
      <c r="AE37" s="22">
        <f>SUM(AE4:AE36)</f>
        <v/>
      </c>
      <c r="AF37" s="22">
        <f>SUM(AF4:AF36)</f>
        <v/>
      </c>
      <c r="AG37" s="22">
        <f>SUM(AG4:AG36)</f>
        <v/>
      </c>
      <c r="AH37" s="22">
        <f>SUM(AH4:AH36)</f>
        <v/>
      </c>
      <c r="AI37" s="22">
        <f>SUM(AI4:AI36)</f>
        <v/>
      </c>
      <c r="AJ37" s="22">
        <f>SUM(AJ4:AJ36)</f>
        <v/>
      </c>
      <c r="AK37" s="22">
        <f>SUM(AK4:AK36)</f>
        <v/>
      </c>
      <c r="AL37" s="22">
        <f>SUM(AL4:AL36)</f>
        <v/>
      </c>
      <c r="AM37" s="22">
        <f>SUM(AM4:AM36)</f>
        <v/>
      </c>
      <c r="AN37" s="22">
        <f>SUM(AN4:AN36)</f>
        <v/>
      </c>
    </row>
  </sheetData>
  <mergeCells count="1">
    <mergeCell ref="A1:AN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3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7" customWidth="1" min="2" max="2"/>
    <col width="35" customWidth="1" min="3" max="3"/>
    <col width="6.42578125" customWidth="1" min="4" max="4"/>
    <col width="6.42578125" customWidth="1" min="5" max="5"/>
    <col width="6.42578125" customWidth="1" min="6" max="6"/>
    <col width="6.42578125" customWidth="1" min="7" max="7"/>
    <col width="6.42578125" customWidth="1" min="8" max="8"/>
    <col width="6.42578125" customWidth="1" min="9" max="9"/>
    <col width="6.42578125" customWidth="1" min="10" max="10"/>
    <col width="6.42578125" customWidth="1" min="11" max="11"/>
    <col width="6.42578125" customWidth="1" min="12" max="12"/>
    <col width="6.42578125" customWidth="1" min="13" max="13"/>
    <col width="6.42578125" customWidth="1" min="14" max="14"/>
    <col width="6.42578125" customWidth="1" min="15" max="15"/>
    <col width="6.42578125" customWidth="1" min="16" max="16"/>
    <col width="6.42578125" customWidth="1" min="17" max="17"/>
    <col width="6.42578125" customWidth="1" min="18" max="18"/>
    <col width="6.42578125" customWidth="1" min="19" max="19"/>
    <col width="6.42578125" customWidth="1" min="20" max="20"/>
    <col width="6.42578125" customWidth="1" min="21" max="21"/>
    <col width="6.42578125" customWidth="1" min="22" max="22"/>
    <col width="6.42578125" customWidth="1" min="23" max="23"/>
    <col width="6.42578125" customWidth="1" min="24" max="24"/>
    <col width="6.42578125" customWidth="1" min="25" max="25"/>
    <col width="6.42578125" customWidth="1" min="26" max="26"/>
    <col width="6.42578125" customWidth="1" min="27" max="27"/>
    <col width="6.42578125" customWidth="1" min="28" max="28"/>
    <col width="6.42578125" customWidth="1" min="29" max="29"/>
    <col width="6.42578125" customWidth="1" min="30" max="30"/>
    <col width="6.42578125" customWidth="1" min="31" max="31"/>
    <col width="6.42578125" customWidth="1" min="32" max="32"/>
    <col width="6.42578125" customWidth="1" min="33" max="33"/>
    <col width="6.42578125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</cols>
  <sheetData>
    <row r="1" ht="26.1" customHeight="1">
      <c r="A1" s="1" t="inlineStr">
        <is>
          <t>MONITORAGGIO ORE FORMAZIONE - Agosto 2026 - TECNINF SPA</t>
        </is>
      </c>
    </row>
    <row r="2" ht="38.1" customHeight="1"/>
    <row r="3" ht="32.1" customHeight="1">
      <c r="A3" s="2" t="inlineStr">
        <is>
          <t>Utente</t>
        </is>
      </c>
      <c r="B3" s="2" t="inlineStr">
        <is>
          <t>Codice Fiscale</t>
        </is>
      </c>
      <c r="C3" s="2" t="inlineStr">
        <is>
          <t>Percorso Formativo</t>
        </is>
      </c>
      <c r="D3" s="12" t="inlineStr">
        <is>
          <t>1
S</t>
        </is>
      </c>
      <c r="E3" s="12" t="inlineStr">
        <is>
          <t>2
D</t>
        </is>
      </c>
      <c r="F3" s="11" t="inlineStr">
        <is>
          <t>3
L</t>
        </is>
      </c>
      <c r="G3" s="11" t="inlineStr">
        <is>
          <t>4
M</t>
        </is>
      </c>
      <c r="H3" s="11" t="inlineStr">
        <is>
          <t>5
M</t>
        </is>
      </c>
      <c r="I3" s="11" t="inlineStr">
        <is>
          <t>6
G</t>
        </is>
      </c>
      <c r="J3" s="11" t="inlineStr">
        <is>
          <t>7
V</t>
        </is>
      </c>
      <c r="K3" s="12" t="inlineStr">
        <is>
          <t>8
S</t>
        </is>
      </c>
      <c r="L3" s="12" t="inlineStr">
        <is>
          <t>9
D</t>
        </is>
      </c>
      <c r="M3" s="11" t="inlineStr">
        <is>
          <t>10
L</t>
        </is>
      </c>
      <c r="N3" s="11" t="inlineStr">
        <is>
          <t>11
M</t>
        </is>
      </c>
      <c r="O3" s="11" t="inlineStr">
        <is>
          <t>12
M</t>
        </is>
      </c>
      <c r="P3" s="11" t="inlineStr">
        <is>
          <t>13
G</t>
        </is>
      </c>
      <c r="Q3" s="11" t="inlineStr">
        <is>
          <t>14
V</t>
        </is>
      </c>
      <c r="R3" s="12" t="inlineStr">
        <is>
          <t>15
S</t>
        </is>
      </c>
      <c r="S3" s="12" t="inlineStr">
        <is>
          <t>16
D</t>
        </is>
      </c>
      <c r="T3" s="11" t="inlineStr">
        <is>
          <t>17
L</t>
        </is>
      </c>
      <c r="U3" s="11" t="inlineStr">
        <is>
          <t>18
M</t>
        </is>
      </c>
      <c r="V3" s="11" t="inlineStr">
        <is>
          <t>19
M</t>
        </is>
      </c>
      <c r="W3" s="11" t="inlineStr">
        <is>
          <t>20
G</t>
        </is>
      </c>
      <c r="X3" s="11" t="inlineStr">
        <is>
          <t>21
V</t>
        </is>
      </c>
      <c r="Y3" s="12" t="inlineStr">
        <is>
          <t>22
S</t>
        </is>
      </c>
      <c r="Z3" s="12" t="inlineStr">
        <is>
          <t>23
D</t>
        </is>
      </c>
      <c r="AA3" s="11" t="inlineStr">
        <is>
          <t>24
L</t>
        </is>
      </c>
      <c r="AB3" s="11" t="inlineStr">
        <is>
          <t>25
M</t>
        </is>
      </c>
      <c r="AC3" s="11" t="inlineStr">
        <is>
          <t>26
M</t>
        </is>
      </c>
      <c r="AD3" s="11" t="inlineStr">
        <is>
          <t>27
G</t>
        </is>
      </c>
      <c r="AE3" s="11" t="inlineStr">
        <is>
          <t>28
V</t>
        </is>
      </c>
      <c r="AF3" s="12" t="inlineStr">
        <is>
          <t>29
S</t>
        </is>
      </c>
      <c r="AG3" s="12" t="inlineStr">
        <is>
          <t>30
D</t>
        </is>
      </c>
      <c r="AH3" s="11" t="inlineStr">
        <is>
          <t>31
L</t>
        </is>
      </c>
      <c r="AI3" s="2" t="inlineStr">
        <is>
          <t>Totale
Ore Effettive</t>
        </is>
      </c>
      <c r="AJ3" s="2" t="inlineStr">
        <is>
          <t>Ore
Totali</t>
        </is>
      </c>
      <c r="AK3" s="2" t="inlineStr">
        <is>
          <t>Totale
Eccesso</t>
        </is>
      </c>
      <c r="AL3" s="2" t="inlineStr">
        <is>
          <t>Eccesso
Weekend</t>
        </is>
      </c>
      <c r="AM3" s="2" t="inlineStr">
        <is>
          <t>Eccesso
Dopo 18:00</t>
        </is>
      </c>
      <c r="AN3" s="2" t="inlineStr">
        <is>
          <t>Eccesso
Mattutino</t>
        </is>
      </c>
    </row>
    <row r="4" ht="17.1" customHeight="1">
      <c r="A4" s="13" t="inlineStr">
        <is>
          <t>ALBA WILLIAM JULIAN PAZ</t>
        </is>
      </c>
      <c r="B4" s="14" t="inlineStr">
        <is>
          <t>PZLWLM96A16Z504F</t>
        </is>
      </c>
      <c r="C4" s="13" t="inlineStr">
        <is>
          <t>La programmazione - Tecninf - Fondoconoscenza</t>
        </is>
      </c>
      <c r="D4" s="16" t="n"/>
      <c r="E4" s="16" t="n"/>
      <c r="F4" s="15" t="n"/>
      <c r="G4" s="17" t="n">
        <v>0.05674768518518519</v>
      </c>
      <c r="H4" s="17" t="n">
        <v>0.06188657407407407</v>
      </c>
      <c r="I4" s="15" t="n"/>
      <c r="J4" s="15" t="n"/>
      <c r="K4" s="16" t="n"/>
      <c r="L4" s="16" t="n"/>
      <c r="M4" s="15" t="n"/>
      <c r="N4" s="17" t="n">
        <v>0.01208333333333333</v>
      </c>
      <c r="O4" s="15" t="n"/>
      <c r="P4" s="15" t="n"/>
      <c r="Q4" s="15" t="n"/>
      <c r="R4" s="16" t="n"/>
      <c r="S4" s="16" t="n"/>
      <c r="T4" s="15" t="n"/>
      <c r="U4" s="15" t="n"/>
      <c r="V4" s="17" t="n">
        <v>0.001006944444444444</v>
      </c>
      <c r="W4" s="15" t="n"/>
      <c r="X4" s="17" t="n">
        <v>0.002962962962962963</v>
      </c>
      <c r="Y4" s="16" t="n"/>
      <c r="Z4" s="16" t="n"/>
      <c r="AA4" s="15" t="n"/>
      <c r="AB4" s="15" t="n"/>
      <c r="AC4" s="17" t="n">
        <v>0.0001388888888888889</v>
      </c>
      <c r="AD4" s="15" t="n"/>
      <c r="AE4" s="17" t="n">
        <v>0.001122685185185185</v>
      </c>
      <c r="AF4" s="16" t="n"/>
      <c r="AG4" s="16" t="n"/>
      <c r="AH4" s="15" t="n"/>
      <c r="AI4" s="18">
        <f>SUM(D4:AH4)</f>
        <v/>
      </c>
      <c r="AJ4" s="18" t="n">
        <v>0.1359490740740741</v>
      </c>
      <c r="AK4" s="18">
        <f>AJ4-AI4</f>
        <v/>
      </c>
      <c r="AL4" s="14" t="n"/>
      <c r="AM4" s="14" t="n"/>
      <c r="AN4" s="14" t="n"/>
    </row>
    <row r="5" ht="17.1" customHeight="1">
      <c r="A5" s="13" t="inlineStr">
        <is>
          <t>BADII ALESSANDRO</t>
        </is>
      </c>
      <c r="B5" s="14" t="inlineStr">
        <is>
          <t>BDALSN01R03H501Z</t>
        </is>
      </c>
      <c r="C5" s="13" t="inlineStr">
        <is>
          <t>Big Data - Tecninf - Fondoconoscenza</t>
        </is>
      </c>
      <c r="D5" s="16" t="n"/>
      <c r="E5" s="16" t="n"/>
      <c r="F5" s="19" t="n">
        <v>0.2691666666666667</v>
      </c>
      <c r="G5" s="17" t="n">
        <v>0.1692939814814815</v>
      </c>
      <c r="H5" s="17" t="n">
        <v>0.1188888888888889</v>
      </c>
      <c r="I5" s="17" t="n">
        <v>0.1080787037037037</v>
      </c>
      <c r="J5" s="17" t="n">
        <v>0.0881712962962963</v>
      </c>
      <c r="K5" s="16" t="n"/>
      <c r="L5" s="16" t="n"/>
      <c r="M5" s="17" t="n">
        <v>0.1376967592592593</v>
      </c>
      <c r="N5" s="17" t="n">
        <v>0.09387731481481482</v>
      </c>
      <c r="O5" s="17" t="n">
        <v>0.04774305555555555</v>
      </c>
      <c r="P5" s="17" t="n">
        <v>0.08084490740740741</v>
      </c>
      <c r="Q5" s="17" t="n">
        <v>0.1169328703703704</v>
      </c>
      <c r="R5" s="16" t="n"/>
      <c r="S5" s="16" t="n"/>
      <c r="T5" s="17" t="n">
        <v>0.1152199074074074</v>
      </c>
      <c r="U5" s="17" t="n">
        <v>0.08828703703703704</v>
      </c>
      <c r="V5" s="17" t="n">
        <v>0.004930555555555555</v>
      </c>
      <c r="W5" s="15" t="n"/>
      <c r="X5" s="15" t="n"/>
      <c r="Y5" s="16" t="n"/>
      <c r="Z5" s="16" t="n"/>
      <c r="AA5" s="15" t="n"/>
      <c r="AB5" s="15" t="n"/>
      <c r="AC5" s="15" t="n"/>
      <c r="AD5" s="15" t="n"/>
      <c r="AE5" s="15" t="n"/>
      <c r="AF5" s="16" t="n"/>
      <c r="AG5" s="16" t="n"/>
      <c r="AH5" s="15" t="n"/>
      <c r="AI5" s="18">
        <f>SUM(D5:AH5)</f>
        <v/>
      </c>
      <c r="AJ5" s="18" t="n">
        <v>1.443344907407407</v>
      </c>
      <c r="AK5" s="18">
        <f>AJ5-AI5</f>
        <v/>
      </c>
      <c r="AL5" s="14" t="n"/>
      <c r="AM5" s="18" t="n">
        <v>0.004212962962962963</v>
      </c>
      <c r="AN5" s="14" t="n"/>
    </row>
    <row r="6" ht="17.1" customHeight="1">
      <c r="A6" s="13" t="inlineStr">
        <is>
          <t>BADINE HICHAM</t>
        </is>
      </c>
      <c r="B6" s="14" t="inlineStr">
        <is>
          <t>BDNHHM97H19H501Q</t>
        </is>
      </c>
      <c r="C6" s="13" t="inlineStr">
        <is>
          <t>La programmazione - Tecninf - Fondoconoscenza</t>
        </is>
      </c>
      <c r="D6" s="16" t="n"/>
      <c r="E6" s="16" t="n"/>
      <c r="F6" s="17" t="n">
        <v>0.01920138888888889</v>
      </c>
      <c r="G6" s="17" t="n">
        <v>0.0880787037037037</v>
      </c>
      <c r="H6" s="19" t="n">
        <v>0.07968749999999999</v>
      </c>
      <c r="I6" s="17" t="n">
        <v>0.0525</v>
      </c>
      <c r="J6" s="17" t="n">
        <v>0.01950231481481482</v>
      </c>
      <c r="K6" s="16" t="n"/>
      <c r="L6" s="16" t="n"/>
      <c r="M6" s="15" t="n"/>
      <c r="N6" s="17" t="n">
        <v>0.05219907407407407</v>
      </c>
      <c r="O6" s="15" t="n"/>
      <c r="P6" s="15" t="n"/>
      <c r="Q6" s="15" t="n"/>
      <c r="R6" s="16" t="n"/>
      <c r="S6" s="16" t="n"/>
      <c r="T6" s="15" t="n"/>
      <c r="U6" s="15" t="n"/>
      <c r="V6" s="15" t="n"/>
      <c r="W6" s="15" t="n"/>
      <c r="X6" s="15" t="n"/>
      <c r="Y6" s="16" t="n"/>
      <c r="Z6" s="16" t="n"/>
      <c r="AA6" s="17" t="n">
        <v>0.004421296296296296</v>
      </c>
      <c r="AB6" s="17" t="n">
        <v>0.01646990740740741</v>
      </c>
      <c r="AC6" s="17" t="n">
        <v>0.04337962962962963</v>
      </c>
      <c r="AD6" s="17" t="n">
        <v>0.06594907407407408</v>
      </c>
      <c r="AE6" s="17" t="n">
        <v>0.03403935185185185</v>
      </c>
      <c r="AF6" s="16" t="n"/>
      <c r="AG6" s="16" t="n"/>
      <c r="AH6" s="17" t="n">
        <v>0.01163194444444444</v>
      </c>
      <c r="AI6" s="18">
        <f>SUM(D6:AH6)</f>
        <v/>
      </c>
      <c r="AJ6" s="18" t="n">
        <v>0.5497800925925926</v>
      </c>
      <c r="AK6" s="18">
        <f>AJ6-AI6</f>
        <v/>
      </c>
      <c r="AL6" s="14" t="n"/>
      <c r="AM6" s="18" t="n">
        <v>0.0627199074074074</v>
      </c>
      <c r="AN6" s="14" t="n"/>
    </row>
    <row r="7" ht="17.1" customHeight="1">
      <c r="A7" s="13" t="inlineStr">
        <is>
          <t>BECIANI ANDREA</t>
        </is>
      </c>
      <c r="B7" s="14" t="inlineStr">
        <is>
          <t>BCNNDR82P16D773D</t>
        </is>
      </c>
      <c r="C7" s="13" t="inlineStr">
        <is>
          <t>La programmazione - Tecninf - Fondoconoscenza</t>
        </is>
      </c>
      <c r="D7" s="16" t="n"/>
      <c r="E7" s="16" t="n"/>
      <c r="F7" s="15" t="n"/>
      <c r="G7" s="15" t="n"/>
      <c r="H7" s="15" t="n"/>
      <c r="I7" s="15" t="n"/>
      <c r="J7" s="15" t="n"/>
      <c r="K7" s="16" t="n"/>
      <c r="L7" s="16" t="n"/>
      <c r="M7" s="15" t="n"/>
      <c r="N7" s="15" t="n"/>
      <c r="O7" s="15" t="n"/>
      <c r="P7" s="15" t="n"/>
      <c r="Q7" s="15" t="n"/>
      <c r="R7" s="16" t="n"/>
      <c r="S7" s="16" t="n"/>
      <c r="T7" s="15" t="n"/>
      <c r="U7" s="15" t="n"/>
      <c r="V7" s="15" t="n"/>
      <c r="W7" s="15" t="n"/>
      <c r="X7" s="23" t="n">
        <v>0.06111111111111111</v>
      </c>
      <c r="Y7" s="16" t="n"/>
      <c r="Z7" s="16" t="n"/>
      <c r="AA7" s="17" t="n">
        <v>0.1992592592592592</v>
      </c>
      <c r="AB7" s="19" t="n">
        <v>0.1635763888888889</v>
      </c>
      <c r="AC7" s="17" t="n">
        <v>0.2212268518518518</v>
      </c>
      <c r="AD7" s="15" t="n"/>
      <c r="AE7" s="15" t="n"/>
      <c r="AF7" s="16" t="n"/>
      <c r="AG7" s="16" t="n"/>
      <c r="AH7" s="15" t="n"/>
      <c r="AI7" s="18">
        <f>SUM(D7:AH7)</f>
        <v/>
      </c>
      <c r="AJ7" s="18" t="n">
        <v>0.6521064814814815</v>
      </c>
      <c r="AK7" s="18">
        <f>AJ7-AI7</f>
        <v/>
      </c>
      <c r="AL7" s="14" t="n"/>
      <c r="AM7" s="18" t="n">
        <v>0.006643518518518518</v>
      </c>
      <c r="AN7" s="18" t="n">
        <v>0.0002893518518518518</v>
      </c>
    </row>
    <row r="8" ht="17.1" customHeight="1">
      <c r="A8" s="13" t="inlineStr">
        <is>
          <t>BOONTAWEE JUTATIP</t>
        </is>
      </c>
      <c r="B8" s="14" t="inlineStr">
        <is>
          <t>BNTJTP78S54Z241U</t>
        </is>
      </c>
      <c r="C8" s="13" t="inlineStr">
        <is>
          <t>Project Management per il digitale - Tecninf - Fondoconoscenza</t>
        </is>
      </c>
      <c r="D8" s="16" t="n"/>
      <c r="E8" s="16" t="n"/>
      <c r="F8" s="15" t="n"/>
      <c r="G8" s="15" t="n"/>
      <c r="H8" s="15" t="n"/>
      <c r="I8" s="15" t="n"/>
      <c r="J8" s="15" t="n"/>
      <c r="K8" s="16" t="n"/>
      <c r="L8" s="16" t="n"/>
      <c r="M8" s="15" t="n"/>
      <c r="N8" s="15" t="n"/>
      <c r="O8" s="15" t="n"/>
      <c r="P8" s="15" t="n"/>
      <c r="Q8" s="15" t="n"/>
      <c r="R8" s="16" t="n"/>
      <c r="S8" s="16" t="n"/>
      <c r="T8" s="15" t="n"/>
      <c r="U8" s="15" t="n"/>
      <c r="V8" s="15" t="n"/>
      <c r="W8" s="15" t="n"/>
      <c r="X8" s="17" t="n">
        <v>0.2172453703703704</v>
      </c>
      <c r="Y8" s="16" t="n"/>
      <c r="Z8" s="16" t="n"/>
      <c r="AA8" s="17" t="n">
        <v>0.1898611111111111</v>
      </c>
      <c r="AB8" s="17" t="n">
        <v>0.0920138888888889</v>
      </c>
      <c r="AC8" s="17" t="n">
        <v>0.1795717592592593</v>
      </c>
      <c r="AD8" s="17" t="n">
        <v>0.1861111111111111</v>
      </c>
      <c r="AE8" s="17" t="n">
        <v>0.2021643518518519</v>
      </c>
      <c r="AF8" s="16" t="n"/>
      <c r="AG8" s="16" t="n"/>
      <c r="AH8" s="17" t="n">
        <v>0.1871643518518518</v>
      </c>
      <c r="AI8" s="18">
        <f>SUM(D8:AH8)</f>
        <v/>
      </c>
      <c r="AJ8" s="18" t="n">
        <v>1.254131944444445</v>
      </c>
      <c r="AK8" s="18">
        <f>AJ8-AI8</f>
        <v/>
      </c>
      <c r="AL8" s="14" t="n"/>
      <c r="AM8" s="14" t="n"/>
      <c r="AN8" s="14" t="n"/>
    </row>
    <row r="9" ht="17.1" customHeight="1">
      <c r="A9" s="13" t="inlineStr">
        <is>
          <t>BUTTINELLI GIORGIA</t>
        </is>
      </c>
      <c r="B9" s="14" t="inlineStr">
        <is>
          <t>BTTGRG97S59G274Q</t>
        </is>
      </c>
      <c r="C9" s="13" t="inlineStr">
        <is>
          <t>Big Data - Tecninf - Fondoconoscenza</t>
        </is>
      </c>
      <c r="D9" s="16" t="n"/>
      <c r="E9" s="16" t="n"/>
      <c r="F9" s="15" t="n"/>
      <c r="G9" s="15" t="n"/>
      <c r="H9" s="15" t="n"/>
      <c r="I9" s="15" t="n"/>
      <c r="J9" s="15" t="n"/>
      <c r="K9" s="16" t="n"/>
      <c r="L9" s="16" t="n"/>
      <c r="M9" s="15" t="n"/>
      <c r="N9" s="15" t="n"/>
      <c r="O9" s="15" t="n"/>
      <c r="P9" s="15" t="n"/>
      <c r="Q9" s="15" t="n"/>
      <c r="R9" s="16" t="n"/>
      <c r="S9" s="16" t="n"/>
      <c r="T9" s="17" t="n">
        <v>0.2251736111111111</v>
      </c>
      <c r="U9" s="17" t="n">
        <v>0.250787037037037</v>
      </c>
      <c r="V9" s="17" t="n">
        <v>0.1657986111111111</v>
      </c>
      <c r="W9" s="19" t="n">
        <v>0.2225231481481481</v>
      </c>
      <c r="X9" s="19" t="n">
        <v>0.2098726851851852</v>
      </c>
      <c r="Y9" s="16" t="n"/>
      <c r="Z9" s="16" t="n"/>
      <c r="AA9" s="15" t="n"/>
      <c r="AB9" s="19" t="n">
        <v>0.2423726851851852</v>
      </c>
      <c r="AC9" s="17" t="n">
        <v>0.1750115740740741</v>
      </c>
      <c r="AD9" s="15" t="n"/>
      <c r="AE9" s="17" t="n">
        <v>0.2633912037037037</v>
      </c>
      <c r="AF9" s="16" t="n"/>
      <c r="AG9" s="16" t="n"/>
      <c r="AH9" s="17" t="n">
        <v>0.2345138888888889</v>
      </c>
      <c r="AI9" s="18">
        <f>SUM(D9:AH9)</f>
        <v/>
      </c>
      <c r="AJ9" s="18" t="n">
        <v>1.997465277777778</v>
      </c>
      <c r="AK9" s="18">
        <f>AJ9-AI9</f>
        <v/>
      </c>
      <c r="AL9" s="14" t="n"/>
      <c r="AM9" s="18" t="n">
        <v>0.008020833333333333</v>
      </c>
      <c r="AN9" s="14" t="n"/>
    </row>
    <row r="10" ht="17.1" customHeight="1">
      <c r="A10" s="13" t="inlineStr">
        <is>
          <t>CARABLUT VICTOR</t>
        </is>
      </c>
      <c r="B10" s="14" t="inlineStr">
        <is>
          <t>CRBVTR94A11Z140B</t>
        </is>
      </c>
      <c r="C10" s="13" t="inlineStr">
        <is>
          <t>Sicurezza Informatica - Tecninf - Fondoconoscenza</t>
        </is>
      </c>
      <c r="D10" s="16" t="n"/>
      <c r="E10" s="16" t="n"/>
      <c r="F10" s="17" t="n">
        <v>0.1915509259259259</v>
      </c>
      <c r="G10" s="17" t="n">
        <v>0.1892708333333333</v>
      </c>
      <c r="H10" s="17" t="n">
        <v>0.1473842592592593</v>
      </c>
      <c r="I10" s="17" t="n">
        <v>0.1068634259259259</v>
      </c>
      <c r="J10" s="17" t="n">
        <v>0.1096296296296296</v>
      </c>
      <c r="K10" s="16" t="n"/>
      <c r="L10" s="16" t="n"/>
      <c r="M10" s="15" t="n"/>
      <c r="N10" s="17" t="n">
        <v>0.1485185185185185</v>
      </c>
      <c r="O10" s="17" t="n">
        <v>0.06146990740740741</v>
      </c>
      <c r="P10" s="15" t="n"/>
      <c r="Q10" s="17" t="n">
        <v>0.1274652777777778</v>
      </c>
      <c r="R10" s="16" t="n"/>
      <c r="S10" s="16" t="n"/>
      <c r="T10" s="17" t="n">
        <v>0.1652893518518518</v>
      </c>
      <c r="U10" s="17" t="n">
        <v>0.1566550925925926</v>
      </c>
      <c r="V10" s="17" t="n">
        <v>0.1616782407407407</v>
      </c>
      <c r="W10" s="17" t="n">
        <v>0.1528935185185185</v>
      </c>
      <c r="X10" s="17" t="n">
        <v>0.1552662037037037</v>
      </c>
      <c r="Y10" s="16" t="n"/>
      <c r="Z10" s="16" t="n"/>
      <c r="AA10" s="17" t="n">
        <v>0.0986574074074074</v>
      </c>
      <c r="AB10" s="15" t="n"/>
      <c r="AC10" s="17" t="n">
        <v>0.09555555555555556</v>
      </c>
      <c r="AD10" s="17" t="n">
        <v>0.1364583333333333</v>
      </c>
      <c r="AE10" s="17" t="n">
        <v>0.2161226851851852</v>
      </c>
      <c r="AF10" s="16" t="n"/>
      <c r="AG10" s="16" t="n"/>
      <c r="AH10" s="15" t="n"/>
      <c r="AI10" s="18">
        <f>SUM(D10:AH10)</f>
        <v/>
      </c>
      <c r="AJ10" s="18" t="n">
        <v>2.420729166666667</v>
      </c>
      <c r="AK10" s="18">
        <f>AJ10-AI10</f>
        <v/>
      </c>
      <c r="AL10" s="14" t="n"/>
      <c r="AM10" s="14" t="n"/>
      <c r="AN10" s="14" t="n"/>
    </row>
    <row r="11" ht="17.1" customHeight="1">
      <c r="A11" s="13" t="inlineStr">
        <is>
          <t>CECCONI ANTHONY</t>
        </is>
      </c>
      <c r="B11" s="14" t="inlineStr">
        <is>
          <t>CCCNHN91D19H501W</t>
        </is>
      </c>
      <c r="C11" s="13" t="inlineStr">
        <is>
          <t>La programmazione - Tecninf - Fondoconoscenza</t>
        </is>
      </c>
      <c r="D11" s="16" t="n"/>
      <c r="E11" s="16" t="n"/>
      <c r="F11" s="17" t="n">
        <v>0.05627314814814815</v>
      </c>
      <c r="G11" s="15" t="n"/>
      <c r="H11" s="15" t="n"/>
      <c r="I11" s="15" t="n"/>
      <c r="J11" s="15" t="n"/>
      <c r="K11" s="16" t="n"/>
      <c r="L11" s="16" t="n"/>
      <c r="M11" s="15" t="n"/>
      <c r="N11" s="15" t="n"/>
      <c r="O11" s="15" t="n"/>
      <c r="P11" s="19" t="n">
        <v>0.006180555555555555</v>
      </c>
      <c r="Q11" s="15" t="n"/>
      <c r="R11" s="24" t="n">
        <v>0</v>
      </c>
      <c r="S11" s="24" t="n">
        <v>0</v>
      </c>
      <c r="T11" s="17" t="n">
        <v>0.1250810185185185</v>
      </c>
      <c r="U11" s="19" t="n">
        <v>0</v>
      </c>
      <c r="V11" s="15" t="n"/>
      <c r="W11" s="15" t="n"/>
      <c r="X11" s="15" t="n"/>
      <c r="Y11" s="24" t="n">
        <v>0</v>
      </c>
      <c r="Z11" s="16" t="n"/>
      <c r="AA11" s="19" t="n">
        <v>0.1123726851851852</v>
      </c>
      <c r="AB11" s="17" t="n">
        <v>0.1148842592592593</v>
      </c>
      <c r="AC11" s="19" t="n">
        <v>0.2256134259259259</v>
      </c>
      <c r="AD11" s="17" t="n">
        <v>0.1495138888888889</v>
      </c>
      <c r="AE11" s="25" t="n">
        <v>0.3333333333333333</v>
      </c>
      <c r="AF11" s="16" t="n"/>
      <c r="AG11" s="16" t="n"/>
      <c r="AH11" s="17" t="n">
        <v>0.1461226851851852</v>
      </c>
      <c r="AI11" s="18">
        <f>SUM(D11:AH11)</f>
        <v/>
      </c>
      <c r="AJ11" s="18" t="n">
        <v>1.735081018518519</v>
      </c>
      <c r="AK11" s="18">
        <f>AJ11-AI11</f>
        <v/>
      </c>
      <c r="AL11" s="18" t="n">
        <v>0.3219328703703704</v>
      </c>
      <c r="AM11" s="18" t="n">
        <v>0.1242708333333333</v>
      </c>
      <c r="AN11" s="14" t="n"/>
    </row>
    <row r="12" ht="17.1" customHeight="1">
      <c r="A12" s="13" t="inlineStr">
        <is>
          <t>CHIARA GOBBI MARIA</t>
        </is>
      </c>
      <c r="B12" s="14" t="inlineStr">
        <is>
          <t>GBBMCH73R57H501G</t>
        </is>
      </c>
      <c r="C12" s="13" t="inlineStr">
        <is>
          <t>L'ufficio digitale - Tecninf - Fondoconoscenza</t>
        </is>
      </c>
      <c r="D12" s="16" t="n"/>
      <c r="E12" s="16" t="n"/>
      <c r="F12" s="17" t="n">
        <v>0.05645833333333333</v>
      </c>
      <c r="G12" s="15" t="n"/>
      <c r="H12" s="17" t="n">
        <v>0.1313773148148148</v>
      </c>
      <c r="I12" s="17" t="n">
        <v>0.1483564814814815</v>
      </c>
      <c r="J12" s="17" t="n">
        <v>0.1047106481481481</v>
      </c>
      <c r="K12" s="16" t="n"/>
      <c r="L12" s="16" t="n"/>
      <c r="M12" s="15" t="n"/>
      <c r="N12" s="15" t="n"/>
      <c r="O12" s="15" t="n"/>
      <c r="P12" s="15" t="n"/>
      <c r="Q12" s="15" t="n"/>
      <c r="R12" s="16" t="n"/>
      <c r="S12" s="16" t="n"/>
      <c r="T12" s="17" t="n">
        <v>0.09136574074074075</v>
      </c>
      <c r="U12" s="17" t="n">
        <v>0.1565625</v>
      </c>
      <c r="V12" s="17" t="n">
        <v>0.1833564814814815</v>
      </c>
      <c r="W12" s="17" t="n">
        <v>0.1843981481481481</v>
      </c>
      <c r="X12" s="17" t="n">
        <v>0.2184375</v>
      </c>
      <c r="Y12" s="16" t="n"/>
      <c r="Z12" s="16" t="n"/>
      <c r="AA12" s="17" t="n">
        <v>0.144837962962963</v>
      </c>
      <c r="AB12" s="17" t="n">
        <v>0.0685763888888889</v>
      </c>
      <c r="AC12" s="17" t="n">
        <v>0.1850462962962963</v>
      </c>
      <c r="AD12" s="17" t="n">
        <v>0.05401620370370371</v>
      </c>
      <c r="AE12" s="17" t="n">
        <v>0.1411458333333333</v>
      </c>
      <c r="AF12" s="16" t="n"/>
      <c r="AG12" s="16" t="n"/>
      <c r="AH12" s="17" t="n">
        <v>0.1628935185185185</v>
      </c>
      <c r="AI12" s="18">
        <f>SUM(D12:AH12)</f>
        <v/>
      </c>
      <c r="AJ12" s="18" t="n">
        <v>2.031539351851852</v>
      </c>
      <c r="AK12" s="18">
        <f>AJ12-AI12</f>
        <v/>
      </c>
      <c r="AL12" s="14" t="n"/>
      <c r="AM12" s="14" t="n"/>
      <c r="AN12" s="14" t="n"/>
    </row>
    <row r="13" ht="17.1" customHeight="1">
      <c r="A13" s="13" t="inlineStr">
        <is>
          <t>LIMETTI ION</t>
        </is>
      </c>
      <c r="B13" s="14" t="inlineStr">
        <is>
          <t>LMTNIO94M03Z129S</t>
        </is>
      </c>
      <c r="C13" s="13" t="inlineStr">
        <is>
          <t>Big Data - Tecninf - Fondoconoscenza</t>
        </is>
      </c>
      <c r="D13" s="16" t="n"/>
      <c r="E13" s="16" t="n"/>
      <c r="F13" s="15" t="n"/>
      <c r="G13" s="17" t="n">
        <v>0.03920138888888889</v>
      </c>
      <c r="H13" s="17" t="n">
        <v>0.1311226851851852</v>
      </c>
      <c r="I13" s="17" t="n">
        <v>0.1560416666666667</v>
      </c>
      <c r="J13" s="15" t="n"/>
      <c r="K13" s="16" t="n"/>
      <c r="L13" s="16" t="n"/>
      <c r="M13" s="15" t="n"/>
      <c r="N13" s="15" t="n"/>
      <c r="O13" s="15" t="n"/>
      <c r="P13" s="15" t="n"/>
      <c r="Q13" s="15" t="n"/>
      <c r="R13" s="16" t="n"/>
      <c r="S13" s="16" t="n"/>
      <c r="T13" s="15" t="n"/>
      <c r="U13" s="15" t="n"/>
      <c r="V13" s="15" t="n"/>
      <c r="W13" s="15" t="n"/>
      <c r="X13" s="15" t="n"/>
      <c r="Y13" s="16" t="n"/>
      <c r="Z13" s="16" t="n"/>
      <c r="AA13" s="15" t="n"/>
      <c r="AB13" s="15" t="n"/>
      <c r="AC13" s="15" t="n"/>
      <c r="AD13" s="15" t="n"/>
      <c r="AE13" s="15" t="n"/>
      <c r="AF13" s="16" t="n"/>
      <c r="AG13" s="16" t="n"/>
      <c r="AH13" s="15" t="n"/>
      <c r="AI13" s="18">
        <f>SUM(D13:AH13)</f>
        <v/>
      </c>
      <c r="AJ13" s="18" t="n">
        <v>0.3263657407407408</v>
      </c>
      <c r="AK13" s="18">
        <f>AJ13-AI13</f>
        <v/>
      </c>
      <c r="AL13" s="14" t="n"/>
      <c r="AM13" s="14" t="n"/>
      <c r="AN13" s="14" t="n"/>
    </row>
    <row r="14" ht="17.1" customHeight="1">
      <c r="A14" s="13" t="inlineStr">
        <is>
          <t>LUCA' VERONICA</t>
        </is>
      </c>
      <c r="B14" s="14" t="inlineStr">
        <is>
          <t>LCUVNC85L52D976T</t>
        </is>
      </c>
      <c r="C14" s="13" t="inlineStr">
        <is>
          <t>Big Data - Tecninf - Fondoconoscenza</t>
        </is>
      </c>
      <c r="D14" s="16" t="n"/>
      <c r="E14" s="16" t="n"/>
      <c r="F14" s="15" t="n"/>
      <c r="G14" s="15" t="n"/>
      <c r="H14" s="15" t="n"/>
      <c r="I14" s="15" t="n"/>
      <c r="J14" s="15" t="n"/>
      <c r="K14" s="16" t="n"/>
      <c r="L14" s="16" t="n"/>
      <c r="M14" s="15" t="n"/>
      <c r="N14" s="15" t="n"/>
      <c r="O14" s="15" t="n"/>
      <c r="P14" s="15" t="n"/>
      <c r="Q14" s="15" t="n"/>
      <c r="R14" s="16" t="n"/>
      <c r="S14" s="16" t="n"/>
      <c r="T14" s="15" t="n"/>
      <c r="U14" s="15" t="n"/>
      <c r="V14" s="15" t="n"/>
      <c r="W14" s="15" t="n"/>
      <c r="X14" s="15" t="n"/>
      <c r="Y14" s="16" t="n"/>
      <c r="Z14" s="16" t="n"/>
      <c r="AA14" s="15" t="n"/>
      <c r="AB14" s="15" t="n"/>
      <c r="AC14" s="15" t="n"/>
      <c r="AD14" s="15" t="n"/>
      <c r="AE14" s="15" t="n"/>
      <c r="AF14" s="16" t="n"/>
      <c r="AG14" s="16" t="n"/>
      <c r="AH14" s="15" t="n"/>
      <c r="AI14" s="18">
        <f>SUM(D14:AH14)</f>
        <v/>
      </c>
      <c r="AJ14" s="14" t="n"/>
      <c r="AK14" s="18">
        <f>AJ14-AI14</f>
        <v/>
      </c>
      <c r="AL14" s="14" t="n"/>
      <c r="AM14" s="14" t="n"/>
      <c r="AN14" s="14" t="n"/>
    </row>
    <row r="15" ht="17.1" customHeight="1">
      <c r="A15" s="13" t="inlineStr">
        <is>
          <t>MAGNANINI LORENZO</t>
        </is>
      </c>
      <c r="B15" s="14" t="inlineStr">
        <is>
          <t>MGNLNZ97M04H501T</t>
        </is>
      </c>
      <c r="C15" s="13" t="inlineStr">
        <is>
          <t>La programmazione - Tecninf - Fondoconoscenza</t>
        </is>
      </c>
      <c r="D15" s="16" t="n"/>
      <c r="E15" s="16" t="n"/>
      <c r="F15" s="15" t="n"/>
      <c r="G15" s="17" t="n">
        <v>0.08945601851851852</v>
      </c>
      <c r="H15" s="17" t="n">
        <v>0.1285300925925926</v>
      </c>
      <c r="I15" s="17" t="n">
        <v>0.1655555555555556</v>
      </c>
      <c r="J15" s="17" t="n">
        <v>0.08546296296296296</v>
      </c>
      <c r="K15" s="16" t="n"/>
      <c r="L15" s="16" t="n"/>
      <c r="M15" s="15" t="n"/>
      <c r="N15" s="17" t="n">
        <v>0.07743055555555556</v>
      </c>
      <c r="O15" s="17" t="n">
        <v>0.01865740740740741</v>
      </c>
      <c r="P15" s="17" t="n">
        <v>0.04326388888888889</v>
      </c>
      <c r="Q15" s="17" t="n">
        <v>0.02228009259259259</v>
      </c>
      <c r="R15" s="16" t="n"/>
      <c r="S15" s="16" t="n"/>
      <c r="T15" s="15" t="n"/>
      <c r="U15" s="15" t="n"/>
      <c r="V15" s="15" t="n"/>
      <c r="W15" s="15" t="n"/>
      <c r="X15" s="15" t="n"/>
      <c r="Y15" s="16" t="n"/>
      <c r="Z15" s="16" t="n"/>
      <c r="AA15" s="15" t="n"/>
      <c r="AB15" s="15" t="n"/>
      <c r="AC15" s="17" t="n">
        <v>0.1183680555555556</v>
      </c>
      <c r="AD15" s="17" t="n">
        <v>0.06657407407407408</v>
      </c>
      <c r="AE15" s="17" t="n">
        <v>0.008703703703703703</v>
      </c>
      <c r="AF15" s="16" t="n"/>
      <c r="AG15" s="16" t="n"/>
      <c r="AH15" s="17" t="n">
        <v>0.03427083333333333</v>
      </c>
      <c r="AI15" s="18">
        <f>SUM(D15:AH15)</f>
        <v/>
      </c>
      <c r="AJ15" s="18" t="n">
        <v>0.8585532407407407</v>
      </c>
      <c r="AK15" s="18">
        <f>AJ15-AI15</f>
        <v/>
      </c>
      <c r="AL15" s="14" t="n"/>
      <c r="AM15" s="14" t="n"/>
      <c r="AN15" s="14" t="n"/>
    </row>
    <row r="16" ht="17.1" customHeight="1">
      <c r="A16" s="13" t="inlineStr">
        <is>
          <t>MARIANI ALESSIA</t>
        </is>
      </c>
      <c r="B16" s="14" t="inlineStr">
        <is>
          <t>MRNLSS75L68H501L</t>
        </is>
      </c>
      <c r="C16" s="13" t="inlineStr">
        <is>
          <t>Big Data - Tecninf - Fondoconoscenza</t>
        </is>
      </c>
      <c r="D16" s="16" t="n"/>
      <c r="E16" s="16" t="n"/>
      <c r="F16" s="15" t="n"/>
      <c r="G16" s="15" t="n"/>
      <c r="H16" s="15" t="n"/>
      <c r="I16" s="15" t="n"/>
      <c r="J16" s="17" t="n">
        <v>0.1391203703703704</v>
      </c>
      <c r="K16" s="16" t="n"/>
      <c r="L16" s="16" t="n"/>
      <c r="M16" s="15" t="n"/>
      <c r="N16" s="17" t="n">
        <v>0.157974537037037</v>
      </c>
      <c r="O16" s="17" t="n">
        <v>0.2030902777777778</v>
      </c>
      <c r="P16" s="17" t="n">
        <v>0.2190740740740741</v>
      </c>
      <c r="Q16" s="17" t="n">
        <v>0.128125</v>
      </c>
      <c r="R16" s="16" t="n"/>
      <c r="S16" s="16" t="n"/>
      <c r="T16" s="15" t="n"/>
      <c r="U16" s="17" t="n">
        <v>0.1824189814814815</v>
      </c>
      <c r="V16" s="17" t="n">
        <v>0.2063657407407407</v>
      </c>
      <c r="W16" s="15" t="n"/>
      <c r="X16" s="17" t="n">
        <v>0.1571759259259259</v>
      </c>
      <c r="Y16" s="16" t="n"/>
      <c r="Z16" s="16" t="n"/>
      <c r="AA16" s="15" t="n"/>
      <c r="AB16" s="17" t="n">
        <v>0.1623611111111111</v>
      </c>
      <c r="AC16" s="17" t="n">
        <v>0.1088657407407407</v>
      </c>
      <c r="AD16" s="15" t="n"/>
      <c r="AE16" s="15" t="n"/>
      <c r="AF16" s="16" t="n"/>
      <c r="AG16" s="16" t="n"/>
      <c r="AH16" s="15" t="n"/>
      <c r="AI16" s="18">
        <f>SUM(D16:AH16)</f>
        <v/>
      </c>
      <c r="AJ16" s="18" t="n">
        <v>1.664571759259259</v>
      </c>
      <c r="AK16" s="18">
        <f>AJ16-AI16</f>
        <v/>
      </c>
      <c r="AL16" s="14" t="n"/>
      <c r="AM16" s="14" t="n"/>
      <c r="AN16" s="14" t="n"/>
    </row>
    <row r="17" ht="17.1" customHeight="1">
      <c r="A17" s="13" t="inlineStr">
        <is>
          <t>MASCELLINO GIULIO</t>
        </is>
      </c>
      <c r="B17" s="14" t="inlineStr">
        <is>
          <t>MSCGLI83C04G511L</t>
        </is>
      </c>
      <c r="C17" s="13" t="inlineStr">
        <is>
          <t>Big Data - Tecninf - Fondoconoscenza</t>
        </is>
      </c>
      <c r="D17" s="16" t="n"/>
      <c r="E17" s="16" t="n"/>
      <c r="F17" s="15" t="n"/>
      <c r="G17" s="15" t="n"/>
      <c r="H17" s="15" t="n"/>
      <c r="I17" s="15" t="n"/>
      <c r="J17" s="15" t="n"/>
      <c r="K17" s="16" t="n"/>
      <c r="L17" s="16" t="n"/>
      <c r="M17" s="15" t="n"/>
      <c r="N17" s="15" t="n"/>
      <c r="O17" s="15" t="n"/>
      <c r="P17" s="15" t="n"/>
      <c r="Q17" s="15" t="n"/>
      <c r="R17" s="16" t="n"/>
      <c r="S17" s="16" t="n"/>
      <c r="T17" s="15" t="n"/>
      <c r="U17" s="15" t="n"/>
      <c r="V17" s="15" t="n"/>
      <c r="W17" s="15" t="n"/>
      <c r="X17" s="15" t="n"/>
      <c r="Y17" s="16" t="n"/>
      <c r="Z17" s="16" t="n"/>
      <c r="AA17" s="15" t="n"/>
      <c r="AB17" s="15" t="n"/>
      <c r="AC17" s="15" t="n"/>
      <c r="AD17" s="15" t="n"/>
      <c r="AE17" s="15" t="n"/>
      <c r="AF17" s="16" t="n"/>
      <c r="AG17" s="16" t="n"/>
      <c r="AH17" s="15" t="n"/>
      <c r="AI17" s="18">
        <f>SUM(D17:AH17)</f>
        <v/>
      </c>
      <c r="AJ17" s="14" t="n"/>
      <c r="AK17" s="18">
        <f>AJ17-AI17</f>
        <v/>
      </c>
      <c r="AL17" s="14" t="n"/>
      <c r="AM17" s="14" t="n"/>
      <c r="AN17" s="14" t="n"/>
    </row>
    <row r="18" ht="17.1" customHeight="1">
      <c r="A18" s="13" t="inlineStr">
        <is>
          <t>PACPACO MICHAEL DEPOLLY</t>
        </is>
      </c>
      <c r="B18" s="14" t="inlineStr">
        <is>
          <t>PCPMHL00R03H501G</t>
        </is>
      </c>
      <c r="C18" s="13" t="inlineStr">
        <is>
          <t>La programmazione - Tecninf - Fondoconoscenza</t>
        </is>
      </c>
      <c r="D18" s="16" t="n"/>
      <c r="E18" s="16" t="n"/>
      <c r="F18" s="15" t="n"/>
      <c r="G18" s="15" t="n"/>
      <c r="H18" s="17" t="n">
        <v>0.03631944444444445</v>
      </c>
      <c r="I18" s="15" t="n"/>
      <c r="J18" s="17" t="n">
        <v>0.05627314814814815</v>
      </c>
      <c r="K18" s="16" t="n"/>
      <c r="L18" s="16" t="n"/>
      <c r="M18" s="17" t="n">
        <v>0.07046296296296296</v>
      </c>
      <c r="N18" s="17" t="n">
        <v>0.03357638888888889</v>
      </c>
      <c r="O18" s="17" t="n">
        <v>0.07319444444444445</v>
      </c>
      <c r="P18" s="17" t="n">
        <v>0.01924768518518518</v>
      </c>
      <c r="Q18" s="17" t="n">
        <v>0.04951388888888889</v>
      </c>
      <c r="R18" s="16" t="n"/>
      <c r="S18" s="16" t="n"/>
      <c r="T18" s="17" t="n">
        <v>0.1859606481481481</v>
      </c>
      <c r="U18" s="17" t="n">
        <v>0.08366898148148148</v>
      </c>
      <c r="V18" s="17" t="n">
        <v>0.09107638888888889</v>
      </c>
      <c r="W18" s="17" t="n">
        <v>0.1077314814814815</v>
      </c>
      <c r="X18" s="17" t="n">
        <v>0.04862268518518519</v>
      </c>
      <c r="Y18" s="16" t="n"/>
      <c r="Z18" s="16" t="n"/>
      <c r="AA18" s="17" t="n">
        <v>0.1460416666666667</v>
      </c>
      <c r="AB18" s="17" t="n">
        <v>0.05416666666666667</v>
      </c>
      <c r="AC18" s="15" t="n"/>
      <c r="AD18" s="17" t="n">
        <v>0.0621875</v>
      </c>
      <c r="AE18" s="17" t="n">
        <v>0.126412037037037</v>
      </c>
      <c r="AF18" s="16" t="n"/>
      <c r="AG18" s="16" t="n"/>
      <c r="AH18" s="17" t="n">
        <v>0.1610069444444444</v>
      </c>
      <c r="AI18" s="18">
        <f>SUM(D18:AH18)</f>
        <v/>
      </c>
      <c r="AJ18" s="18" t="n">
        <v>1.405462962962963</v>
      </c>
      <c r="AK18" s="18">
        <f>AJ18-AI18</f>
        <v/>
      </c>
      <c r="AL18" s="14" t="n"/>
      <c r="AM18" s="14" t="n"/>
      <c r="AN18" s="14" t="n"/>
    </row>
    <row r="19" ht="17.1" customHeight="1">
      <c r="A19" s="13" t="inlineStr">
        <is>
          <t>PASSIO ROBERTA</t>
        </is>
      </c>
      <c r="B19" s="14" t="inlineStr">
        <is>
          <t>PSSRRT76L56H501O</t>
        </is>
      </c>
      <c r="C19" s="13" t="inlineStr">
        <is>
          <t>Sicurezza Informatica - Tecninf - Fondoconoscenza</t>
        </is>
      </c>
      <c r="D19" s="16" t="n"/>
      <c r="E19" s="16" t="n"/>
      <c r="F19" s="17" t="n">
        <v>0.1934490740740741</v>
      </c>
      <c r="G19" s="17" t="n">
        <v>0.2210185185185185</v>
      </c>
      <c r="H19" s="17" t="n">
        <v>0.2250115740740741</v>
      </c>
      <c r="I19" s="17" t="n">
        <v>0.1559953703703704</v>
      </c>
      <c r="J19" s="17" t="n">
        <v>0.1738310185185185</v>
      </c>
      <c r="K19" s="16" t="n"/>
      <c r="L19" s="16" t="n"/>
      <c r="M19" s="15" t="n"/>
      <c r="N19" s="15" t="n"/>
      <c r="O19" s="15" t="n"/>
      <c r="P19" s="15" t="n"/>
      <c r="Q19" s="15" t="n"/>
      <c r="R19" s="16" t="n"/>
      <c r="S19" s="16" t="n"/>
      <c r="T19" s="15" t="n"/>
      <c r="U19" s="15" t="n"/>
      <c r="V19" s="15" t="n"/>
      <c r="W19" s="15" t="n"/>
      <c r="X19" s="15" t="n"/>
      <c r="Y19" s="16" t="n"/>
      <c r="Z19" s="16" t="n"/>
      <c r="AA19" s="15" t="n"/>
      <c r="AB19" s="15" t="n"/>
      <c r="AC19" s="15" t="n"/>
      <c r="AD19" s="15" t="n"/>
      <c r="AE19" s="15" t="n"/>
      <c r="AF19" s="16" t="n"/>
      <c r="AG19" s="16" t="n"/>
      <c r="AH19" s="15" t="n"/>
      <c r="AI19" s="18">
        <f>SUM(D19:AH19)</f>
        <v/>
      </c>
      <c r="AJ19" s="18" t="n">
        <v>0.9693055555555555</v>
      </c>
      <c r="AK19" s="18">
        <f>AJ19-AI19</f>
        <v/>
      </c>
      <c r="AL19" s="14" t="n"/>
      <c r="AM19" s="14" t="n"/>
      <c r="AN19" s="14" t="n"/>
    </row>
    <row r="20" ht="17.1" customHeight="1">
      <c r="A20" s="13" t="inlineStr">
        <is>
          <t>PERILLA GIAN LEO GAMES</t>
        </is>
      </c>
      <c r="B20" s="14" t="inlineStr">
        <is>
          <t>PRLGLG98M18H501X</t>
        </is>
      </c>
      <c r="C20" s="13" t="inlineStr">
        <is>
          <t>Big Data - Tecninf - Fondoconoscenza</t>
        </is>
      </c>
      <c r="D20" s="16" t="n"/>
      <c r="E20" s="16" t="n"/>
      <c r="F20" s="15" t="n"/>
      <c r="G20" s="15" t="n"/>
      <c r="H20" s="15" t="n"/>
      <c r="I20" s="17" t="n">
        <v>0.07416666666666667</v>
      </c>
      <c r="J20" s="19" t="n">
        <v>0.1020023148148148</v>
      </c>
      <c r="K20" s="16" t="n"/>
      <c r="L20" s="16" t="n"/>
      <c r="M20" s="17" t="n">
        <v>0.05009259259259259</v>
      </c>
      <c r="N20" s="19" t="n">
        <v>0.02989583333333333</v>
      </c>
      <c r="O20" s="17" t="n">
        <v>0.07180555555555555</v>
      </c>
      <c r="P20" s="17" t="n">
        <v>0.01003472222222222</v>
      </c>
      <c r="Q20" s="15" t="n"/>
      <c r="R20" s="16" t="n"/>
      <c r="S20" s="16" t="n"/>
      <c r="T20" s="15" t="n"/>
      <c r="U20" s="15" t="n"/>
      <c r="V20" s="15" t="n"/>
      <c r="W20" s="15" t="n"/>
      <c r="X20" s="15" t="n"/>
      <c r="Y20" s="16" t="n"/>
      <c r="Z20" s="16" t="n"/>
      <c r="AA20" s="15" t="n"/>
      <c r="AB20" s="19" t="n">
        <v>0.03866898148148148</v>
      </c>
      <c r="AC20" s="17" t="n">
        <v>0.05085648148148148</v>
      </c>
      <c r="AD20" s="17" t="n">
        <v>0.03783564814814815</v>
      </c>
      <c r="AE20" s="17" t="n">
        <v>0.009120370370370371</v>
      </c>
      <c r="AF20" s="16" t="n"/>
      <c r="AG20" s="16" t="n"/>
      <c r="AH20" s="17" t="n">
        <v>0.008923611111111111</v>
      </c>
      <c r="AI20" s="18">
        <f>SUM(D20:AH20)</f>
        <v/>
      </c>
      <c r="AJ20" s="18" t="n">
        <v>0.5096990740740741</v>
      </c>
      <c r="AK20" s="18">
        <f>AJ20-AI20</f>
        <v/>
      </c>
      <c r="AL20" s="14" t="n"/>
      <c r="AM20" s="18" t="n">
        <v>0.0262962962962963</v>
      </c>
      <c r="AN20" s="14" t="n"/>
    </row>
    <row r="21" ht="17.1" customHeight="1">
      <c r="A21" s="13" t="inlineStr">
        <is>
          <t>PINNA ROBERTO CAO</t>
        </is>
      </c>
      <c r="B21" s="14" t="inlineStr">
        <is>
          <t>CPNRRT66D27H501V</t>
        </is>
      </c>
      <c r="C21" s="13" t="inlineStr">
        <is>
          <t>Project Management per il digitale - Tecninf - Fondoconoscenza</t>
        </is>
      </c>
      <c r="D21" s="16" t="n"/>
      <c r="E21" s="16" t="n"/>
      <c r="F21" s="15" t="n"/>
      <c r="G21" s="15" t="n"/>
      <c r="H21" s="15" t="n"/>
      <c r="I21" s="15" t="n"/>
      <c r="J21" s="15" t="n"/>
      <c r="K21" s="16" t="n"/>
      <c r="L21" s="16" t="n"/>
      <c r="M21" s="15" t="n"/>
      <c r="N21" s="15" t="n"/>
      <c r="O21" s="15" t="n"/>
      <c r="P21" s="15" t="n"/>
      <c r="Q21" s="15" t="n"/>
      <c r="R21" s="16" t="n"/>
      <c r="S21" s="16" t="n"/>
      <c r="T21" s="15" t="n"/>
      <c r="U21" s="15" t="n"/>
      <c r="V21" s="15" t="n"/>
      <c r="W21" s="15" t="n"/>
      <c r="X21" s="17" t="n">
        <v>0.08125</v>
      </c>
      <c r="Y21" s="16" t="n"/>
      <c r="Z21" s="16" t="n"/>
      <c r="AA21" s="17" t="n">
        <v>0.05957175925925926</v>
      </c>
      <c r="AB21" s="17" t="n">
        <v>0.03881944444444444</v>
      </c>
      <c r="AC21" s="15" t="n"/>
      <c r="AD21" s="15" t="n"/>
      <c r="AE21" s="15" t="n"/>
      <c r="AF21" s="16" t="n"/>
      <c r="AG21" s="16" t="n"/>
      <c r="AH21" s="15" t="n"/>
      <c r="AI21" s="18">
        <f>SUM(D21:AH21)</f>
        <v/>
      </c>
      <c r="AJ21" s="18" t="n">
        <v>0.1796412037037037</v>
      </c>
      <c r="AK21" s="18">
        <f>AJ21-AI21</f>
        <v/>
      </c>
      <c r="AL21" s="14" t="n"/>
      <c r="AM21" s="14" t="n"/>
      <c r="AN21" s="14" t="n"/>
    </row>
    <row r="22" ht="17.1" customHeight="1">
      <c r="A22" s="13" t="inlineStr">
        <is>
          <t>POGGI ROBERTO</t>
        </is>
      </c>
      <c r="B22" s="14" t="inlineStr">
        <is>
          <t>PGGRRT91H07F839Q</t>
        </is>
      </c>
      <c r="C22" s="13" t="inlineStr">
        <is>
          <t>Big Data - Tecninf - Fondoconoscenza</t>
        </is>
      </c>
      <c r="D22" s="16" t="n"/>
      <c r="E22" s="16" t="n"/>
      <c r="F22" s="15" t="n"/>
      <c r="G22" s="15" t="n"/>
      <c r="H22" s="15" t="n"/>
      <c r="I22" s="15" t="n"/>
      <c r="J22" s="15" t="n"/>
      <c r="K22" s="16" t="n"/>
      <c r="L22" s="16" t="n"/>
      <c r="M22" s="15" t="n"/>
      <c r="N22" s="15" t="n"/>
      <c r="O22" s="17" t="n">
        <v>0.147025462962963</v>
      </c>
      <c r="P22" s="17" t="n">
        <v>0.07458333333333333</v>
      </c>
      <c r="Q22" s="19" t="n">
        <v>0.1225578703703704</v>
      </c>
      <c r="R22" s="16" t="n"/>
      <c r="S22" s="16" t="n"/>
      <c r="T22" s="19" t="n">
        <v>0.2226388888888889</v>
      </c>
      <c r="U22" s="17" t="n">
        <v>0.0899537037037037</v>
      </c>
      <c r="V22" s="15" t="n"/>
      <c r="W22" s="15" t="n"/>
      <c r="X22" s="15" t="n"/>
      <c r="Y22" s="16" t="n"/>
      <c r="Z22" s="16" t="n"/>
      <c r="AA22" s="15" t="n"/>
      <c r="AB22" s="15" t="n"/>
      <c r="AC22" s="15" t="n"/>
      <c r="AD22" s="15" t="n"/>
      <c r="AE22" s="15" t="n"/>
      <c r="AF22" s="16" t="n"/>
      <c r="AG22" s="16" t="n"/>
      <c r="AH22" s="15" t="n"/>
      <c r="AI22" s="18">
        <f>SUM(D22:AH22)</f>
        <v/>
      </c>
      <c r="AJ22" s="18" t="n">
        <v>0.6715277777777777</v>
      </c>
      <c r="AK22" s="18">
        <f>AJ22-AI22</f>
        <v/>
      </c>
      <c r="AL22" s="14" t="n"/>
      <c r="AM22" s="18" t="n">
        <v>0.01476851851851852</v>
      </c>
      <c r="AN22" s="14" t="n"/>
    </row>
    <row r="23" ht="17.1" customHeight="1">
      <c r="A23" s="13" t="inlineStr">
        <is>
          <t>PRASAD RAKESH KUMAR</t>
        </is>
      </c>
      <c r="B23" s="14" t="inlineStr">
        <is>
          <t>PRSRSH87S19H501S</t>
        </is>
      </c>
      <c r="C23" s="13" t="inlineStr">
        <is>
          <t>Sicurezza Informatica - Tecninf - Fondoconoscenza</t>
        </is>
      </c>
      <c r="D23" s="16" t="n"/>
      <c r="E23" s="16" t="n"/>
      <c r="F23" s="15" t="n"/>
      <c r="G23" s="15" t="n"/>
      <c r="H23" s="15" t="n"/>
      <c r="I23" s="15" t="n"/>
      <c r="J23" s="15" t="n"/>
      <c r="K23" s="16" t="n"/>
      <c r="L23" s="16" t="n"/>
      <c r="M23" s="15" t="n"/>
      <c r="N23" s="15" t="n"/>
      <c r="O23" s="15" t="n"/>
      <c r="P23" s="15" t="n"/>
      <c r="Q23" s="15" t="n"/>
      <c r="R23" s="16" t="n"/>
      <c r="S23" s="16" t="n"/>
      <c r="T23" s="15" t="n"/>
      <c r="U23" s="15" t="n"/>
      <c r="V23" s="15" t="n"/>
      <c r="W23" s="15" t="n"/>
      <c r="X23" s="15" t="n"/>
      <c r="Y23" s="16" t="n"/>
      <c r="Z23" s="16" t="n"/>
      <c r="AA23" s="15" t="n"/>
      <c r="AB23" s="15" t="n"/>
      <c r="AC23" s="15" t="n"/>
      <c r="AD23" s="15" t="n"/>
      <c r="AE23" s="15" t="n"/>
      <c r="AF23" s="16" t="n"/>
      <c r="AG23" s="16" t="n"/>
      <c r="AH23" s="15" t="n"/>
      <c r="AI23" s="18">
        <f>SUM(D23:AH23)</f>
        <v/>
      </c>
      <c r="AJ23" s="14" t="n"/>
      <c r="AK23" s="18">
        <f>AJ23-AI23</f>
        <v/>
      </c>
      <c r="AL23" s="14" t="n"/>
      <c r="AM23" s="14" t="n"/>
      <c r="AN23" s="14" t="n"/>
    </row>
    <row r="24" ht="17.1" customHeight="1">
      <c r="A24" s="13" t="inlineStr">
        <is>
          <t>PUDDU RAIMONDO</t>
        </is>
      </c>
      <c r="B24" s="14" t="inlineStr">
        <is>
          <t>PDDRND75R08H501S</t>
        </is>
      </c>
      <c r="C24" s="13" t="inlineStr">
        <is>
          <t>Big Data - Tecninf - Fondoconoscenza</t>
        </is>
      </c>
      <c r="D24" s="16" t="n"/>
      <c r="E24" s="16" t="n"/>
      <c r="F24" s="15" t="n"/>
      <c r="G24" s="15" t="n"/>
      <c r="H24" s="15" t="n"/>
      <c r="I24" s="15" t="n"/>
      <c r="J24" s="15" t="n"/>
      <c r="K24" s="16" t="n"/>
      <c r="L24" s="16" t="n"/>
      <c r="M24" s="17" t="n">
        <v>0.06003472222222223</v>
      </c>
      <c r="N24" s="17" t="n">
        <v>0.09317129629629629</v>
      </c>
      <c r="O24" s="17" t="n">
        <v>0.009039351851851852</v>
      </c>
      <c r="P24" s="17" t="n">
        <v>0.09364583333333333</v>
      </c>
      <c r="Q24" s="17" t="n">
        <v>0.01969907407407407</v>
      </c>
      <c r="R24" s="16" t="n"/>
      <c r="S24" s="16" t="n"/>
      <c r="T24" s="17" t="n">
        <v>0.06541666666666666</v>
      </c>
      <c r="U24" s="19" t="n">
        <v>0.1149768518518519</v>
      </c>
      <c r="V24" s="17" t="n">
        <v>0.08274305555555556</v>
      </c>
      <c r="W24" s="19" t="n">
        <v>0.1449768518518519</v>
      </c>
      <c r="X24" s="17" t="n">
        <v>0.1454166666666667</v>
      </c>
      <c r="Y24" s="16" t="n"/>
      <c r="Z24" s="16" t="n"/>
      <c r="AA24" s="17" t="n">
        <v>0.09391203703703704</v>
      </c>
      <c r="AB24" s="17" t="n">
        <v>0.09028935185185186</v>
      </c>
      <c r="AC24" s="17" t="n">
        <v>0.09081018518518519</v>
      </c>
      <c r="AD24" s="17" t="n">
        <v>0.1615972222222222</v>
      </c>
      <c r="AE24" s="17" t="n">
        <v>0.08508101851851851</v>
      </c>
      <c r="AF24" s="16" t="n"/>
      <c r="AG24" s="16" t="n"/>
      <c r="AH24" s="19" t="n">
        <v>0.07193287037037037</v>
      </c>
      <c r="AI24" s="18">
        <f>SUM(D24:AH24)</f>
        <v/>
      </c>
      <c r="AJ24" s="18" t="n">
        <v>1.428148148148148</v>
      </c>
      <c r="AK24" s="18">
        <f>AJ24-AI24</f>
        <v/>
      </c>
      <c r="AL24" s="14" t="n"/>
      <c r="AM24" s="18" t="n">
        <v>0.005405092592592592</v>
      </c>
      <c r="AN24" s="14" t="n"/>
    </row>
    <row r="25" ht="17.1" customHeight="1">
      <c r="A25" s="13" t="inlineStr">
        <is>
          <t>RANIERI FRANCESCO</t>
        </is>
      </c>
      <c r="B25" s="14" t="inlineStr">
        <is>
          <t>RNRFNC99L28H501B</t>
        </is>
      </c>
      <c r="C25" s="13" t="inlineStr">
        <is>
          <t>La programmazione - Tecninf - Fondoconoscenza</t>
        </is>
      </c>
      <c r="D25" s="16" t="n"/>
      <c r="E25" s="16" t="n"/>
      <c r="F25" s="15" t="n"/>
      <c r="G25" s="15" t="n"/>
      <c r="H25" s="15" t="n"/>
      <c r="I25" s="15" t="n"/>
      <c r="J25" s="15" t="n"/>
      <c r="K25" s="16" t="n"/>
      <c r="L25" s="16" t="n"/>
      <c r="M25" s="17" t="n">
        <v>0.1457523148148148</v>
      </c>
      <c r="N25" s="15" t="n"/>
      <c r="O25" s="15" t="n"/>
      <c r="P25" s="17" t="n">
        <v>0.09778935185185185</v>
      </c>
      <c r="Q25" s="17" t="n">
        <v>0.04349537037037037</v>
      </c>
      <c r="R25" s="16" t="n"/>
      <c r="S25" s="16" t="n"/>
      <c r="T25" s="15" t="n"/>
      <c r="U25" s="15" t="n"/>
      <c r="V25" s="17" t="n">
        <v>0.1206018518518518</v>
      </c>
      <c r="W25" s="19" t="n">
        <v>0.1124884259259259</v>
      </c>
      <c r="X25" s="19" t="n">
        <v>0.05612268518518519</v>
      </c>
      <c r="Y25" s="16" t="n"/>
      <c r="Z25" s="16" t="n"/>
      <c r="AA25" s="17" t="n">
        <v>0.1876157407407407</v>
      </c>
      <c r="AB25" s="17" t="n">
        <v>0.1169212962962963</v>
      </c>
      <c r="AC25" s="19" t="n">
        <v>0.1272222222222222</v>
      </c>
      <c r="AD25" s="19" t="n">
        <v>0.1313773148148148</v>
      </c>
      <c r="AE25" s="17" t="n">
        <v>0.221712962962963</v>
      </c>
      <c r="AF25" s="16" t="n"/>
      <c r="AG25" s="16" t="n"/>
      <c r="AH25" s="19" t="n">
        <v>0.06313657407407407</v>
      </c>
      <c r="AI25" s="18">
        <f>SUM(D25:AH25)</f>
        <v/>
      </c>
      <c r="AJ25" s="18" t="n">
        <v>1.453946759259259</v>
      </c>
      <c r="AK25" s="18">
        <f>AJ25-AI25</f>
        <v/>
      </c>
      <c r="AL25" s="14" t="n"/>
      <c r="AM25" s="18" t="n">
        <v>0.02971064814814815</v>
      </c>
      <c r="AN25" s="14" t="n"/>
    </row>
    <row r="26" ht="17.1" customHeight="1">
      <c r="A26" s="13" t="inlineStr">
        <is>
          <t>ROSA JEREMY DELA</t>
        </is>
      </c>
      <c r="B26" s="14" t="inlineStr">
        <is>
          <t>DLRJMY02A20H501A</t>
        </is>
      </c>
      <c r="C26" s="13" t="inlineStr">
        <is>
          <t>Big Data - Tecninf - Fondoconoscenza</t>
        </is>
      </c>
      <c r="D26" s="16" t="n"/>
      <c r="E26" s="16" t="n"/>
      <c r="F26" s="17" t="n">
        <v>0.04201388888888889</v>
      </c>
      <c r="G26" s="15" t="n"/>
      <c r="H26" s="15" t="n"/>
      <c r="I26" s="15" t="n"/>
      <c r="J26" s="15" t="n"/>
      <c r="K26" s="16" t="n"/>
      <c r="L26" s="16" t="n"/>
      <c r="M26" s="15" t="n"/>
      <c r="N26" s="15" t="n"/>
      <c r="O26" s="15" t="n"/>
      <c r="P26" s="15" t="n"/>
      <c r="Q26" s="15" t="n"/>
      <c r="R26" s="16" t="n"/>
      <c r="S26" s="16" t="n"/>
      <c r="T26" s="15" t="n"/>
      <c r="U26" s="15" t="n"/>
      <c r="V26" s="15" t="n"/>
      <c r="W26" s="15" t="n"/>
      <c r="X26" s="15" t="n"/>
      <c r="Y26" s="16" t="n"/>
      <c r="Z26" s="16" t="n"/>
      <c r="AA26" s="15" t="n"/>
      <c r="AB26" s="15" t="n"/>
      <c r="AC26" s="15" t="n"/>
      <c r="AD26" s="15" t="n"/>
      <c r="AE26" s="15" t="n"/>
      <c r="AF26" s="16" t="n"/>
      <c r="AG26" s="16" t="n"/>
      <c r="AH26" s="15" t="n"/>
      <c r="AI26" s="18">
        <f>SUM(D26:AH26)</f>
        <v/>
      </c>
      <c r="AJ26" s="18" t="n">
        <v>0.04201388888888889</v>
      </c>
      <c r="AK26" s="18">
        <f>AJ26-AI26</f>
        <v/>
      </c>
      <c r="AL26" s="14" t="n"/>
      <c r="AM26" s="14" t="n"/>
      <c r="AN26" s="14" t="n"/>
    </row>
    <row r="27" ht="17.1" customHeight="1">
      <c r="A27" s="13" t="inlineStr">
        <is>
          <t>SALPIETRO GIANLUCA</t>
        </is>
      </c>
      <c r="B27" s="14" t="inlineStr">
        <is>
          <t>SLPGLC81B17G377J</t>
        </is>
      </c>
      <c r="C27" s="13" t="inlineStr">
        <is>
          <t>Big Data - Tecninf - Fondoconoscenza</t>
        </is>
      </c>
      <c r="D27" s="16" t="n"/>
      <c r="E27" s="16" t="n"/>
      <c r="F27" s="15" t="n"/>
      <c r="G27" s="15" t="n"/>
      <c r="H27" s="17" t="n">
        <v>0.08972222222222222</v>
      </c>
      <c r="I27" s="19" t="n">
        <v>0.1762962962962963</v>
      </c>
      <c r="J27" s="19" t="n">
        <v>0.1832638888888889</v>
      </c>
      <c r="K27" s="16" t="n"/>
      <c r="L27" s="16" t="n"/>
      <c r="M27" s="19" t="n">
        <v>0.1830439814814815</v>
      </c>
      <c r="N27" s="19" t="n">
        <v>0.0822800925925926</v>
      </c>
      <c r="O27" s="17" t="n">
        <v>0.1080787037037037</v>
      </c>
      <c r="P27" s="17" t="n">
        <v>0.1102083333333333</v>
      </c>
      <c r="Q27" s="17" t="n">
        <v>0.01450231481481482</v>
      </c>
      <c r="R27" s="16" t="n"/>
      <c r="S27" s="16" t="n"/>
      <c r="T27" s="15" t="n"/>
      <c r="U27" s="15" t="n"/>
      <c r="V27" s="15" t="n"/>
      <c r="W27" s="15" t="n"/>
      <c r="X27" s="15" t="n"/>
      <c r="Y27" s="16" t="n"/>
      <c r="Z27" s="16" t="n"/>
      <c r="AA27" s="15" t="n"/>
      <c r="AB27" s="15" t="n"/>
      <c r="AC27" s="15" t="n"/>
      <c r="AD27" s="15" t="n"/>
      <c r="AE27" s="15" t="n"/>
      <c r="AF27" s="16" t="n"/>
      <c r="AG27" s="16" t="n"/>
      <c r="AH27" s="15" t="n"/>
      <c r="AI27" s="18">
        <f>SUM(D27:AH27)</f>
        <v/>
      </c>
      <c r="AJ27" s="18" t="n">
        <v>0.9636574074074075</v>
      </c>
      <c r="AK27" s="18">
        <f>AJ27-AI27</f>
        <v/>
      </c>
      <c r="AL27" s="14" t="n"/>
      <c r="AM27" s="18" t="n">
        <v>0.01626157407407407</v>
      </c>
      <c r="AN27" s="14" t="n"/>
    </row>
    <row r="28" ht="17.1" customHeight="1">
      <c r="A28" s="13" t="inlineStr">
        <is>
          <t>SALVATI CARMINE</t>
        </is>
      </c>
      <c r="B28" s="14" t="inlineStr">
        <is>
          <t>SLVCMN80D14D086Z</t>
        </is>
      </c>
      <c r="C28" s="13" t="inlineStr">
        <is>
          <t>Big Data - Tecninf - Fondoconoscenza</t>
        </is>
      </c>
      <c r="D28" s="16" t="n"/>
      <c r="E28" s="16" t="n"/>
      <c r="F28" s="15" t="n"/>
      <c r="G28" s="15" t="n"/>
      <c r="H28" s="15" t="n"/>
      <c r="I28" s="15" t="n"/>
      <c r="J28" s="15" t="n"/>
      <c r="K28" s="16" t="n"/>
      <c r="L28" s="16" t="n"/>
      <c r="M28" s="15" t="n"/>
      <c r="N28" s="15" t="n"/>
      <c r="O28" s="15" t="n"/>
      <c r="P28" s="15" t="n"/>
      <c r="Q28" s="15" t="n"/>
      <c r="R28" s="16" t="n"/>
      <c r="S28" s="16" t="n"/>
      <c r="T28" s="19" t="n">
        <v>0.1479861111111111</v>
      </c>
      <c r="U28" s="19" t="n">
        <v>0.1678240740740741</v>
      </c>
      <c r="V28" s="19" t="n">
        <v>0.201099537037037</v>
      </c>
      <c r="W28" s="17" t="n">
        <v>0.1562152777777778</v>
      </c>
      <c r="X28" s="17" t="n">
        <v>0.1342361111111111</v>
      </c>
      <c r="Y28" s="16" t="n"/>
      <c r="Z28" s="16" t="n"/>
      <c r="AA28" s="17" t="n">
        <v>0.1245138888888889</v>
      </c>
      <c r="AB28" s="17" t="n">
        <v>0.08497685185185185</v>
      </c>
      <c r="AC28" s="17" t="n">
        <v>0.09902777777777778</v>
      </c>
      <c r="AD28" s="17" t="n">
        <v>0.1601967592592592</v>
      </c>
      <c r="AE28" s="17" t="n">
        <v>0.06395833333333334</v>
      </c>
      <c r="AF28" s="16" t="n"/>
      <c r="AG28" s="16" t="n"/>
      <c r="AH28" s="17" t="n">
        <v>0.109849537037037</v>
      </c>
      <c r="AI28" s="18">
        <f>SUM(D28:AH28)</f>
        <v/>
      </c>
      <c r="AJ28" s="18" t="n">
        <v>1.469618055555556</v>
      </c>
      <c r="AK28" s="18">
        <f>AJ28-AI28</f>
        <v/>
      </c>
      <c r="AL28" s="14" t="n"/>
      <c r="AM28" s="18" t="n">
        <v>0.0197337962962963</v>
      </c>
      <c r="AN28" s="14" t="n"/>
    </row>
    <row r="29" ht="17.1" customHeight="1">
      <c r="A29" s="13" t="inlineStr">
        <is>
          <t>SAMBRINI ALESSIA</t>
        </is>
      </c>
      <c r="B29" s="14" t="inlineStr">
        <is>
          <t>SMBLSS74D47H501E</t>
        </is>
      </c>
      <c r="C29" s="13" t="inlineStr">
        <is>
          <t>Big Data - Tecninf - Fondoconoscenza</t>
        </is>
      </c>
      <c r="D29" s="16" t="n"/>
      <c r="E29" s="16" t="n"/>
      <c r="F29" s="17" t="n">
        <v>0.140150462962963</v>
      </c>
      <c r="G29" s="17" t="n">
        <v>0.2345138888888889</v>
      </c>
      <c r="H29" s="17" t="n">
        <v>0.2259490740740741</v>
      </c>
      <c r="I29" s="17" t="n">
        <v>0.2466550925925926</v>
      </c>
      <c r="J29" s="15" t="n"/>
      <c r="K29" s="16" t="n"/>
      <c r="L29" s="16" t="n"/>
      <c r="M29" s="15" t="n"/>
      <c r="N29" s="19" t="n">
        <v>0.2355439814814815</v>
      </c>
      <c r="O29" s="17" t="n">
        <v>0.1243171296296296</v>
      </c>
      <c r="P29" s="19" t="n">
        <v>0.2263194444444444</v>
      </c>
      <c r="Q29" s="17" t="n">
        <v>0.1825347222222222</v>
      </c>
      <c r="R29" s="16" t="n"/>
      <c r="S29" s="16" t="n"/>
      <c r="T29" s="19" t="n">
        <v>0.2459490740740741</v>
      </c>
      <c r="U29" s="17" t="n">
        <v>0.1161921296296296</v>
      </c>
      <c r="V29" s="19" t="n">
        <v>0.1888888888888889</v>
      </c>
      <c r="W29" s="19" t="n">
        <v>0.2287152777777778</v>
      </c>
      <c r="X29" s="19" t="n">
        <v>0.2563657407407408</v>
      </c>
      <c r="Y29" s="16" t="n"/>
      <c r="Z29" s="16" t="n"/>
      <c r="AA29" s="25" t="n">
        <v>0.3333333333333333</v>
      </c>
      <c r="AB29" s="19" t="n">
        <v>0.2662268518518519</v>
      </c>
      <c r="AC29" s="17" t="n">
        <v>0.1818287037037037</v>
      </c>
      <c r="AD29" s="17" t="n">
        <v>0.1671180555555556</v>
      </c>
      <c r="AE29" s="19" t="n">
        <v>0.1645833333333333</v>
      </c>
      <c r="AF29" s="16" t="n"/>
      <c r="AG29" s="16" t="n"/>
      <c r="AH29" s="17" t="n">
        <v>0.04197916666666666</v>
      </c>
      <c r="AI29" s="18">
        <f>SUM(D29:AH29)</f>
        <v/>
      </c>
      <c r="AJ29" s="18" t="n">
        <v>3.864016203703704</v>
      </c>
      <c r="AK29" s="18">
        <f>AJ29-AI29</f>
        <v/>
      </c>
      <c r="AL29" s="14" t="n"/>
      <c r="AM29" s="18" t="n">
        <v>0.04930555555555555</v>
      </c>
      <c r="AN29" s="14" t="n"/>
    </row>
    <row r="30" ht="17.1" customHeight="1">
      <c r="A30" s="13" t="inlineStr">
        <is>
          <t>SAVAIANO SILVIA</t>
        </is>
      </c>
      <c r="B30" s="14" t="inlineStr">
        <is>
          <t>SVNSLV89A46H501I</t>
        </is>
      </c>
      <c r="C30" s="13" t="inlineStr">
        <is>
          <t>La programmazione - Tecninf - Fondoconoscenza</t>
        </is>
      </c>
      <c r="D30" s="16" t="n"/>
      <c r="E30" s="16" t="n"/>
      <c r="F30" s="17" t="n">
        <v>0.07487268518518518</v>
      </c>
      <c r="G30" s="17" t="n">
        <v>0.07328703703703704</v>
      </c>
      <c r="H30" s="17" t="n">
        <v>0.01892361111111111</v>
      </c>
      <c r="I30" s="15" t="n"/>
      <c r="J30" s="17" t="n">
        <v>0.005208333333333333</v>
      </c>
      <c r="K30" s="16" t="n"/>
      <c r="L30" s="16" t="n"/>
      <c r="M30" s="17" t="n">
        <v>0.0001157407407407407</v>
      </c>
      <c r="N30" s="15" t="n"/>
      <c r="O30" s="15" t="n"/>
      <c r="P30" s="15" t="n"/>
      <c r="Q30" s="15" t="n"/>
      <c r="R30" s="16" t="n"/>
      <c r="S30" s="16" t="n"/>
      <c r="T30" s="15" t="n"/>
      <c r="U30" s="15" t="n"/>
      <c r="V30" s="19" t="n">
        <v>0.06549768518518519</v>
      </c>
      <c r="W30" s="19" t="n">
        <v>0.03626157407407407</v>
      </c>
      <c r="X30" s="19" t="n">
        <v>0.06655092592592593</v>
      </c>
      <c r="Y30" s="16" t="n"/>
      <c r="Z30" s="16" t="n"/>
      <c r="AA30" s="17" t="n">
        <v>0.1657986111111111</v>
      </c>
      <c r="AB30" s="17" t="n">
        <v>0.09236111111111112</v>
      </c>
      <c r="AC30" s="15" t="n"/>
      <c r="AD30" s="15" t="n"/>
      <c r="AE30" s="19" t="n">
        <v>0.1327430555555555</v>
      </c>
      <c r="AF30" s="16" t="n"/>
      <c r="AG30" s="16" t="n"/>
      <c r="AH30" s="19" t="n">
        <v>0.06625</v>
      </c>
      <c r="AI30" s="18">
        <f>SUM(D30:AH30)</f>
        <v/>
      </c>
      <c r="AJ30" s="18" t="n">
        <v>0.9518055555555556</v>
      </c>
      <c r="AK30" s="18">
        <f>AJ30-AI30</f>
        <v/>
      </c>
      <c r="AL30" s="14" t="n"/>
      <c r="AM30" s="18" t="n">
        <v>0.1539351851851852</v>
      </c>
      <c r="AN30" s="14" t="n"/>
    </row>
    <row r="31" ht="17.1" customHeight="1">
      <c r="A31" s="13" t="inlineStr">
        <is>
          <t>SCALVEDI FILIPPO</t>
        </is>
      </c>
      <c r="B31" s="14" t="inlineStr">
        <is>
          <t>SCLFPP97S05H501K</t>
        </is>
      </c>
      <c r="C31" s="13" t="inlineStr">
        <is>
          <t>Big Data - Tecninf - Fondoconoscenza</t>
        </is>
      </c>
      <c r="D31" s="16" t="n"/>
      <c r="E31" s="16" t="n"/>
      <c r="F31" s="15" t="n"/>
      <c r="G31" s="17" t="n">
        <v>0.02614583333333333</v>
      </c>
      <c r="H31" s="15" t="n"/>
      <c r="I31" s="15" t="n"/>
      <c r="J31" s="15" t="n"/>
      <c r="K31" s="16" t="n"/>
      <c r="L31" s="16" t="n"/>
      <c r="M31" s="15" t="n"/>
      <c r="N31" s="15" t="n"/>
      <c r="O31" s="17" t="n">
        <v>0.1344675925925926</v>
      </c>
      <c r="P31" s="15" t="n"/>
      <c r="Q31" s="15" t="n"/>
      <c r="R31" s="16" t="n"/>
      <c r="S31" s="16" t="n"/>
      <c r="T31" s="15" t="n"/>
      <c r="U31" s="15" t="n"/>
      <c r="V31" s="15" t="n"/>
      <c r="W31" s="15" t="n"/>
      <c r="X31" s="15" t="n"/>
      <c r="Y31" s="16" t="n"/>
      <c r="Z31" s="16" t="n"/>
      <c r="AA31" s="15" t="n"/>
      <c r="AB31" s="15" t="n"/>
      <c r="AC31" s="15" t="n"/>
      <c r="AD31" s="15" t="n"/>
      <c r="AE31" s="15" t="n"/>
      <c r="AF31" s="16" t="n"/>
      <c r="AG31" s="16" t="n"/>
      <c r="AH31" s="17" t="n">
        <v>0.01438657407407407</v>
      </c>
      <c r="AI31" s="18">
        <f>SUM(D31:AH31)</f>
        <v/>
      </c>
      <c r="AJ31" s="18" t="n">
        <v>0.175</v>
      </c>
      <c r="AK31" s="18">
        <f>AJ31-AI31</f>
        <v/>
      </c>
      <c r="AL31" s="14" t="n"/>
      <c r="AM31" s="14" t="n"/>
      <c r="AN31" s="14" t="n"/>
    </row>
    <row r="32" ht="17.1" customHeight="1">
      <c r="A32" s="13" t="inlineStr">
        <is>
          <t>SCRIMIERI TIZIANO</t>
        </is>
      </c>
      <c r="B32" s="14" t="inlineStr">
        <is>
          <t>SCRTZN80A09H501I</t>
        </is>
      </c>
      <c r="C32" s="13" t="inlineStr">
        <is>
          <t>Big Data - Tecninf - Fondoconoscenza</t>
        </is>
      </c>
      <c r="D32" s="16" t="n"/>
      <c r="E32" s="16" t="n"/>
      <c r="F32" s="17" t="n">
        <v>0.09979166666666667</v>
      </c>
      <c r="G32" s="15" t="n"/>
      <c r="H32" s="15" t="n"/>
      <c r="I32" s="15" t="n"/>
      <c r="J32" s="15" t="n"/>
      <c r="K32" s="16" t="n"/>
      <c r="L32" s="16" t="n"/>
      <c r="M32" s="19" t="n">
        <v>0.1320717592592593</v>
      </c>
      <c r="N32" s="17" t="n">
        <v>0.04608796296296296</v>
      </c>
      <c r="O32" s="15" t="n"/>
      <c r="P32" s="15" t="n"/>
      <c r="Q32" s="17" t="n">
        <v>0.07870370370370371</v>
      </c>
      <c r="R32" s="16" t="n"/>
      <c r="S32" s="16" t="n"/>
      <c r="T32" s="17" t="n">
        <v>0.02313657407407407</v>
      </c>
      <c r="U32" s="17" t="n">
        <v>0.08966435185185186</v>
      </c>
      <c r="V32" s="17" t="n">
        <v>0.177974537037037</v>
      </c>
      <c r="W32" s="19" t="n">
        <v>0.1039814814814815</v>
      </c>
      <c r="X32" s="17" t="n">
        <v>0.1282986111111111</v>
      </c>
      <c r="Y32" s="16" t="n"/>
      <c r="Z32" s="16" t="n"/>
      <c r="AA32" s="17" t="n">
        <v>0.2122685185185185</v>
      </c>
      <c r="AB32" s="17" t="n">
        <v>0.115474537037037</v>
      </c>
      <c r="AC32" s="17" t="n">
        <v>0.1485069444444445</v>
      </c>
      <c r="AD32" s="15" t="n"/>
      <c r="AE32" s="17" t="n">
        <v>0.07127314814814815</v>
      </c>
      <c r="AF32" s="16" t="n"/>
      <c r="AG32" s="16" t="n"/>
      <c r="AH32" s="17" t="n">
        <v>0.1415046296296296</v>
      </c>
      <c r="AI32" s="18">
        <f>SUM(D32:AH32)</f>
        <v/>
      </c>
      <c r="AJ32" s="18" t="n">
        <v>1.5728125</v>
      </c>
      <c r="AK32" s="18">
        <f>AJ32-AI32</f>
        <v/>
      </c>
      <c r="AL32" s="14" t="n"/>
      <c r="AM32" s="18" t="n">
        <v>0.004074074074074074</v>
      </c>
      <c r="AN32" s="14" t="n"/>
    </row>
    <row r="33" ht="17.1" customHeight="1">
      <c r="A33" s="13" t="inlineStr">
        <is>
          <t>STASIUC DENIS</t>
        </is>
      </c>
      <c r="B33" s="14" t="inlineStr">
        <is>
          <t>STSDNS91B05Z140T</t>
        </is>
      </c>
      <c r="C33" s="13" t="inlineStr">
        <is>
          <t>Big Data - Tecninf - Fondoconoscenza</t>
        </is>
      </c>
      <c r="D33" s="16" t="n"/>
      <c r="E33" s="16" t="n"/>
      <c r="F33" s="17" t="n">
        <v>0.1223958333333333</v>
      </c>
      <c r="G33" s="17" t="n">
        <v>0.06956018518518518</v>
      </c>
      <c r="H33" s="17" t="n">
        <v>0.09266203703703704</v>
      </c>
      <c r="I33" s="17" t="n">
        <v>0.05915509259259259</v>
      </c>
      <c r="J33" s="17" t="n">
        <v>0.1137962962962963</v>
      </c>
      <c r="K33" s="16" t="n"/>
      <c r="L33" s="16" t="n"/>
      <c r="M33" s="15" t="n"/>
      <c r="N33" s="15" t="n"/>
      <c r="O33" s="15" t="n"/>
      <c r="P33" s="15" t="n"/>
      <c r="Q33" s="15" t="n"/>
      <c r="R33" s="16" t="n"/>
      <c r="S33" s="16" t="n"/>
      <c r="T33" s="17" t="n">
        <v>0.04251157407407408</v>
      </c>
      <c r="U33" s="17" t="n">
        <v>0.09489583333333333</v>
      </c>
      <c r="V33" s="17" t="n">
        <v>0.1470138888888889</v>
      </c>
      <c r="W33" s="19" t="n">
        <v>0.1582407407407407</v>
      </c>
      <c r="X33" s="17" t="n">
        <v>0.1621412037037037</v>
      </c>
      <c r="Y33" s="16" t="n"/>
      <c r="Z33" s="16" t="n"/>
      <c r="AA33" s="17" t="n">
        <v>0.1359722222222222</v>
      </c>
      <c r="AB33" s="17" t="n">
        <v>0.1367476851851852</v>
      </c>
      <c r="AC33" s="17" t="n">
        <v>0.1215277777777778</v>
      </c>
      <c r="AD33" s="17" t="n">
        <v>0.1010185185185185</v>
      </c>
      <c r="AE33" s="17" t="n">
        <v>0.08234953703703704</v>
      </c>
      <c r="AF33" s="16" t="n"/>
      <c r="AG33" s="16" t="n"/>
      <c r="AH33" s="17" t="n">
        <v>0.07520833333333334</v>
      </c>
      <c r="AI33" s="18">
        <f>SUM(D33:AH33)</f>
        <v/>
      </c>
      <c r="AJ33" s="18" t="n">
        <v>1.715219907407407</v>
      </c>
      <c r="AK33" s="18">
        <f>AJ33-AI33</f>
        <v/>
      </c>
      <c r="AL33" s="14" t="n"/>
      <c r="AM33" s="18" t="n">
        <v>2.314814814814815e-05</v>
      </c>
      <c r="AN33" s="14" t="n"/>
    </row>
    <row r="34" ht="17.1" customHeight="1">
      <c r="A34" s="13" t="inlineStr">
        <is>
          <t>TARISCIOTTI ANDREA</t>
        </is>
      </c>
      <c r="B34" s="14" t="inlineStr">
        <is>
          <t>TRSNDR97M24H501B</t>
        </is>
      </c>
      <c r="C34" s="13" t="inlineStr">
        <is>
          <t>La programmazione - Tecninf - Fondoconoscenza</t>
        </is>
      </c>
      <c r="D34" s="16" t="n"/>
      <c r="E34" s="16" t="n"/>
      <c r="F34" s="15" t="n"/>
      <c r="G34" s="15" t="n"/>
      <c r="H34" s="15" t="n"/>
      <c r="I34" s="15" t="n"/>
      <c r="J34" s="19" t="n">
        <v>0</v>
      </c>
      <c r="K34" s="16" t="n"/>
      <c r="L34" s="16" t="n"/>
      <c r="M34" s="15" t="n"/>
      <c r="N34" s="15" t="n"/>
      <c r="O34" s="15" t="n"/>
      <c r="P34" s="15" t="n"/>
      <c r="Q34" s="15" t="n"/>
      <c r="R34" s="16" t="n"/>
      <c r="S34" s="16" t="n"/>
      <c r="T34" s="15" t="n"/>
      <c r="U34" s="15" t="n"/>
      <c r="V34" s="15" t="n"/>
      <c r="W34" s="15" t="n"/>
      <c r="X34" s="15" t="n"/>
      <c r="Y34" s="16" t="n"/>
      <c r="Z34" s="16" t="n"/>
      <c r="AA34" s="15" t="n"/>
      <c r="AB34" s="15" t="n"/>
      <c r="AC34" s="15" t="n"/>
      <c r="AD34" s="15" t="n"/>
      <c r="AE34" s="15" t="n"/>
      <c r="AF34" s="16" t="n"/>
      <c r="AG34" s="16" t="n"/>
      <c r="AH34" s="15" t="n"/>
      <c r="AI34" s="18">
        <f>SUM(D34:AH34)</f>
        <v/>
      </c>
      <c r="AJ34" s="18" t="n">
        <v>0.03991898148148148</v>
      </c>
      <c r="AK34" s="18">
        <f>AJ34-AI34</f>
        <v/>
      </c>
      <c r="AL34" s="14" t="n"/>
      <c r="AM34" s="18" t="n">
        <v>0.03991898148148148</v>
      </c>
      <c r="AN34" s="14" t="n"/>
    </row>
    <row r="35" ht="17.1" customHeight="1">
      <c r="A35" s="13" t="inlineStr">
        <is>
          <t>TOCI ANTONETA</t>
        </is>
      </c>
      <c r="B35" s="14" t="inlineStr">
        <is>
          <t>TCONNT91H59Z100O</t>
        </is>
      </c>
      <c r="C35" s="13" t="inlineStr">
        <is>
          <t>La programmazione - Tecninf - Fondoconoscenza</t>
        </is>
      </c>
      <c r="D35" s="16" t="n"/>
      <c r="E35" s="16" t="n"/>
      <c r="F35" s="15" t="n"/>
      <c r="G35" s="15" t="n"/>
      <c r="H35" s="15" t="n"/>
      <c r="I35" s="15" t="n"/>
      <c r="J35" s="15" t="n"/>
      <c r="K35" s="16" t="n"/>
      <c r="L35" s="16" t="n"/>
      <c r="M35" s="25" t="n">
        <v>0.3333333333333333</v>
      </c>
      <c r="N35" s="25" t="n">
        <v>0.3333333333333333</v>
      </c>
      <c r="O35" s="15" t="n"/>
      <c r="P35" s="25" t="n">
        <v>0.3333333333333333</v>
      </c>
      <c r="Q35" s="17" t="n">
        <v>0.3044212962962963</v>
      </c>
      <c r="R35" s="16" t="n"/>
      <c r="S35" s="16" t="n"/>
      <c r="T35" s="15" t="n"/>
      <c r="U35" s="15" t="n"/>
      <c r="V35" s="15" t="n"/>
      <c r="W35" s="15" t="n"/>
      <c r="X35" s="15" t="n"/>
      <c r="Y35" s="16" t="n"/>
      <c r="Z35" s="16" t="n"/>
      <c r="AA35" s="15" t="n"/>
      <c r="AB35" s="15" t="n"/>
      <c r="AC35" s="15" t="n"/>
      <c r="AD35" s="15" t="n"/>
      <c r="AE35" s="15" t="n"/>
      <c r="AF35" s="16" t="n"/>
      <c r="AG35" s="16" t="n"/>
      <c r="AH35" s="15" t="n"/>
      <c r="AI35" s="18">
        <f>SUM(D35:AH35)</f>
        <v/>
      </c>
      <c r="AJ35" s="18" t="n">
        <v>1.368460648148148</v>
      </c>
      <c r="AK35" s="18">
        <f>AJ35-AI35</f>
        <v/>
      </c>
      <c r="AL35" s="14" t="n"/>
      <c r="AM35" s="18" t="n">
        <v>0.01878472222222222</v>
      </c>
      <c r="AN35" s="14" t="n"/>
    </row>
    <row r="36" ht="17.1" customHeight="1">
      <c r="A36" s="13" t="inlineStr">
        <is>
          <t>VISWANATHAN SRIDHAR</t>
        </is>
      </c>
      <c r="B36" s="14" t="inlineStr">
        <is>
          <t>VSWSDH86S22Z222H</t>
        </is>
      </c>
      <c r="C36" s="13" t="inlineStr">
        <is>
          <t>Project Management per il digitale - Tecninf - Fondoconoscenza</t>
        </is>
      </c>
      <c r="D36" s="16" t="n"/>
      <c r="E36" s="16" t="n"/>
      <c r="F36" s="19" t="n">
        <v>0.2039583333333333</v>
      </c>
      <c r="G36" s="17" t="n">
        <v>0.303125</v>
      </c>
      <c r="H36" s="17" t="n">
        <v>0.2135069444444445</v>
      </c>
      <c r="I36" s="19" t="n">
        <v>0.1956481481481482</v>
      </c>
      <c r="J36" s="17" t="n">
        <v>0.2215740740740741</v>
      </c>
      <c r="K36" s="16" t="n"/>
      <c r="L36" s="16" t="n"/>
      <c r="M36" s="17" t="n">
        <v>0.2088078703703704</v>
      </c>
      <c r="N36" s="17" t="n">
        <v>0.3034953703703704</v>
      </c>
      <c r="O36" s="19" t="n">
        <v>0.2247337962962963</v>
      </c>
      <c r="P36" s="17" t="n">
        <v>0.2887962962962963</v>
      </c>
      <c r="Q36" s="17" t="n">
        <v>0.3277546296296296</v>
      </c>
      <c r="R36" s="16" t="n"/>
      <c r="S36" s="16" t="n"/>
      <c r="T36" s="17" t="n">
        <v>0.2706481481481481</v>
      </c>
      <c r="U36" s="17" t="n">
        <v>0.2581712962962963</v>
      </c>
      <c r="V36" s="17" t="n">
        <v>0.260462962962963</v>
      </c>
      <c r="W36" s="19" t="n">
        <v>0.2603125</v>
      </c>
      <c r="X36" s="19" t="n">
        <v>0.2756944444444445</v>
      </c>
      <c r="Y36" s="16" t="n"/>
      <c r="Z36" s="16" t="n"/>
      <c r="AA36" s="17" t="n">
        <v>0.2231828703703704</v>
      </c>
      <c r="AB36" s="17" t="n">
        <v>0.2477083333333333</v>
      </c>
      <c r="AC36" s="17" t="n">
        <v>0.1083680555555556</v>
      </c>
      <c r="AD36" s="17" t="n">
        <v>0.2607754629629629</v>
      </c>
      <c r="AE36" s="15" t="n"/>
      <c r="AF36" s="16" t="n"/>
      <c r="AG36" s="16" t="n"/>
      <c r="AH36" s="17" t="n">
        <v>0.2130902777777778</v>
      </c>
      <c r="AI36" s="18">
        <f>SUM(D36:AH36)</f>
        <v/>
      </c>
      <c r="AJ36" s="18" t="n">
        <v>4.880127314814815</v>
      </c>
      <c r="AK36" s="18">
        <f>AJ36-AI36</f>
        <v/>
      </c>
      <c r="AL36" s="14" t="n"/>
      <c r="AM36" s="18" t="n">
        <v>0.0103125</v>
      </c>
      <c r="AN36" s="14" t="n"/>
    </row>
    <row r="37" ht="17.1" customHeight="1">
      <c r="A37" s="20" t="inlineStr">
        <is>
          <t>TOTALE</t>
        </is>
      </c>
      <c r="B37" s="21" t="n"/>
      <c r="C37" s="21" t="n"/>
      <c r="D37" s="22">
        <f>SUM(D4:D36)</f>
        <v/>
      </c>
      <c r="E37" s="22">
        <f>SUM(E4:E36)</f>
        <v/>
      </c>
      <c r="F37" s="22">
        <f>SUM(F4:F36)</f>
        <v/>
      </c>
      <c r="G37" s="22">
        <f>SUM(G4:G36)</f>
        <v/>
      </c>
      <c r="H37" s="22">
        <f>SUM(H4:H36)</f>
        <v/>
      </c>
      <c r="I37" s="22">
        <f>SUM(I4:I36)</f>
        <v/>
      </c>
      <c r="J37" s="22">
        <f>SUM(J4:J36)</f>
        <v/>
      </c>
      <c r="K37" s="22">
        <f>SUM(K4:K36)</f>
        <v/>
      </c>
      <c r="L37" s="22">
        <f>SUM(L4:L36)</f>
        <v/>
      </c>
      <c r="M37" s="22">
        <f>SUM(M4:M36)</f>
        <v/>
      </c>
      <c r="N37" s="22">
        <f>SUM(N4:N36)</f>
        <v/>
      </c>
      <c r="O37" s="22">
        <f>SUM(O4:O36)</f>
        <v/>
      </c>
      <c r="P37" s="22">
        <f>SUM(P4:P36)</f>
        <v/>
      </c>
      <c r="Q37" s="22">
        <f>SUM(Q4:Q36)</f>
        <v/>
      </c>
      <c r="R37" s="22">
        <f>SUM(R4:R36)</f>
        <v/>
      </c>
      <c r="S37" s="22">
        <f>SUM(S4:S36)</f>
        <v/>
      </c>
      <c r="T37" s="22">
        <f>SUM(T4:T36)</f>
        <v/>
      </c>
      <c r="U37" s="22">
        <f>SUM(U4:U36)</f>
        <v/>
      </c>
      <c r="V37" s="22">
        <f>SUM(V4:V36)</f>
        <v/>
      </c>
      <c r="W37" s="22">
        <f>SUM(W4:W36)</f>
        <v/>
      </c>
      <c r="X37" s="22">
        <f>SUM(X4:X36)</f>
        <v/>
      </c>
      <c r="Y37" s="22">
        <f>SUM(Y4:Y36)</f>
        <v/>
      </c>
      <c r="Z37" s="22">
        <f>SUM(Z4:Z36)</f>
        <v/>
      </c>
      <c r="AA37" s="22">
        <f>SUM(AA4:AA36)</f>
        <v/>
      </c>
      <c r="AB37" s="22">
        <f>SUM(AB4:AB36)</f>
        <v/>
      </c>
      <c r="AC37" s="22">
        <f>SUM(AC4:AC36)</f>
        <v/>
      </c>
      <c r="AD37" s="22">
        <f>SUM(AD4:AD36)</f>
        <v/>
      </c>
      <c r="AE37" s="22">
        <f>SUM(AE4:AE36)</f>
        <v/>
      </c>
      <c r="AF37" s="22">
        <f>SUM(AF4:AF36)</f>
        <v/>
      </c>
      <c r="AG37" s="22">
        <f>SUM(AG4:AG36)</f>
        <v/>
      </c>
      <c r="AH37" s="22">
        <f>SUM(AH4:AH36)</f>
        <v/>
      </c>
      <c r="AI37" s="22">
        <f>SUM(AI4:AI36)</f>
        <v/>
      </c>
      <c r="AJ37" s="22">
        <f>SUM(AJ4:AJ36)</f>
        <v/>
      </c>
      <c r="AK37" s="22">
        <f>SUM(AK4:AK36)</f>
        <v/>
      </c>
      <c r="AL37" s="22">
        <f>SUM(AL4:AL36)</f>
        <v/>
      </c>
      <c r="AM37" s="22">
        <f>SUM(AM4:AM36)</f>
        <v/>
      </c>
      <c r="AN37" s="22">
        <f>SUM(AN4:AN36)</f>
        <v/>
      </c>
    </row>
  </sheetData>
  <mergeCells count="1">
    <mergeCell ref="A1:AN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7" customWidth="1" min="2" max="2"/>
    <col width="35" customWidth="1" min="3" max="3"/>
    <col width="6.42578125" customWidth="1" min="4" max="4"/>
    <col width="6.42578125" customWidth="1" min="5" max="5"/>
    <col width="6.42578125" customWidth="1" min="6" max="6"/>
    <col width="6.42578125" customWidth="1" min="7" max="7"/>
    <col width="6.42578125" customWidth="1" min="8" max="8"/>
    <col width="6.42578125" customWidth="1" min="9" max="9"/>
    <col width="6.42578125" customWidth="1" min="10" max="10"/>
    <col width="6.42578125" customWidth="1" min="11" max="11"/>
    <col width="6.42578125" customWidth="1" min="12" max="12"/>
    <col width="6.42578125" customWidth="1" min="13" max="13"/>
    <col width="6.42578125" customWidth="1" min="14" max="14"/>
    <col width="6.42578125" customWidth="1" min="15" max="15"/>
    <col width="6.42578125" customWidth="1" min="16" max="16"/>
    <col width="6.42578125" customWidth="1" min="17" max="17"/>
    <col width="6.42578125" customWidth="1" min="18" max="18"/>
    <col width="6.42578125" customWidth="1" min="19" max="19"/>
    <col width="6.42578125" customWidth="1" min="20" max="20"/>
    <col width="6.42578125" customWidth="1" min="21" max="21"/>
    <col width="6.42578125" customWidth="1" min="22" max="22"/>
    <col width="6.42578125" customWidth="1" min="23" max="23"/>
    <col width="6.42578125" customWidth="1" min="24" max="24"/>
    <col width="6.42578125" customWidth="1" min="25" max="25"/>
    <col width="6.42578125" customWidth="1" min="26" max="26"/>
    <col width="6.42578125" customWidth="1" min="27" max="27"/>
    <col width="6.42578125" customWidth="1" min="28" max="28"/>
    <col width="6.42578125" customWidth="1" min="29" max="29"/>
    <col width="6.42578125" customWidth="1" min="30" max="30"/>
    <col width="6.42578125" customWidth="1" min="31" max="31"/>
    <col width="6.42578125" customWidth="1" min="32" max="32"/>
    <col width="6.42578125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</cols>
  <sheetData>
    <row r="1" ht="26.1" customHeight="1">
      <c r="A1" s="1" t="inlineStr">
        <is>
          <t>MONITORAGGIO ORE FORMAZIONE - Settembre 2026 - TECNINF SPA</t>
        </is>
      </c>
    </row>
    <row r="2" ht="38.1" customHeight="1"/>
    <row r="3" ht="32.1" customHeight="1">
      <c r="A3" s="2" t="inlineStr">
        <is>
          <t>Utente</t>
        </is>
      </c>
      <c r="B3" s="2" t="inlineStr">
        <is>
          <t>Codice Fiscale</t>
        </is>
      </c>
      <c r="C3" s="2" t="inlineStr">
        <is>
          <t>Percorso Formativo</t>
        </is>
      </c>
      <c r="D3" s="11" t="inlineStr">
        <is>
          <t>1
M</t>
        </is>
      </c>
      <c r="E3" s="11" t="inlineStr">
        <is>
          <t>2
M</t>
        </is>
      </c>
      <c r="F3" s="11" t="inlineStr">
        <is>
          <t>3
G</t>
        </is>
      </c>
      <c r="G3" s="11" t="inlineStr">
        <is>
          <t>4
V</t>
        </is>
      </c>
      <c r="H3" s="12" t="inlineStr">
        <is>
          <t>5
S</t>
        </is>
      </c>
      <c r="I3" s="12" t="inlineStr">
        <is>
          <t>6
D</t>
        </is>
      </c>
      <c r="J3" s="11" t="inlineStr">
        <is>
          <t>7
L</t>
        </is>
      </c>
      <c r="K3" s="11" t="inlineStr">
        <is>
          <t>8
M</t>
        </is>
      </c>
      <c r="L3" s="11" t="inlineStr">
        <is>
          <t>9
M</t>
        </is>
      </c>
      <c r="M3" s="11" t="inlineStr">
        <is>
          <t>10
G</t>
        </is>
      </c>
      <c r="N3" s="11" t="inlineStr">
        <is>
          <t>11
V</t>
        </is>
      </c>
      <c r="O3" s="12" t="inlineStr">
        <is>
          <t>12
S</t>
        </is>
      </c>
      <c r="P3" s="12" t="inlineStr">
        <is>
          <t>13
D</t>
        </is>
      </c>
      <c r="Q3" s="11" t="inlineStr">
        <is>
          <t>14
L</t>
        </is>
      </c>
      <c r="R3" s="11" t="inlineStr">
        <is>
          <t>15
M</t>
        </is>
      </c>
      <c r="S3" s="11" t="inlineStr">
        <is>
          <t>16
M</t>
        </is>
      </c>
      <c r="T3" s="11" t="inlineStr">
        <is>
          <t>17
G</t>
        </is>
      </c>
      <c r="U3" s="11" t="inlineStr">
        <is>
          <t>18
V</t>
        </is>
      </c>
      <c r="V3" s="12" t="inlineStr">
        <is>
          <t>19
S</t>
        </is>
      </c>
      <c r="W3" s="12" t="inlineStr">
        <is>
          <t>20
D</t>
        </is>
      </c>
      <c r="X3" s="11" t="inlineStr">
        <is>
          <t>21
L</t>
        </is>
      </c>
      <c r="Y3" s="11" t="inlineStr">
        <is>
          <t>22
M</t>
        </is>
      </c>
      <c r="Z3" s="11" t="inlineStr">
        <is>
          <t>23
M</t>
        </is>
      </c>
      <c r="AA3" s="11" t="inlineStr">
        <is>
          <t>24
G</t>
        </is>
      </c>
      <c r="AB3" s="11" t="inlineStr">
        <is>
          <t>25
V</t>
        </is>
      </c>
      <c r="AC3" s="12" t="inlineStr">
        <is>
          <t>26
S</t>
        </is>
      </c>
      <c r="AD3" s="12" t="inlineStr">
        <is>
          <t>27
D</t>
        </is>
      </c>
      <c r="AE3" s="11" t="inlineStr">
        <is>
          <t>28
L</t>
        </is>
      </c>
      <c r="AF3" s="11" t="inlineStr">
        <is>
          <t>29
M</t>
        </is>
      </c>
      <c r="AG3" s="11" t="inlineStr">
        <is>
          <t>30
M</t>
        </is>
      </c>
      <c r="AH3" s="2" t="inlineStr">
        <is>
          <t>Totale
Ore Effettive</t>
        </is>
      </c>
      <c r="AI3" s="2" t="inlineStr">
        <is>
          <t>Ore
Totali</t>
        </is>
      </c>
      <c r="AJ3" s="2" t="inlineStr">
        <is>
          <t>Totale
Eccesso</t>
        </is>
      </c>
      <c r="AK3" s="2" t="inlineStr">
        <is>
          <t>Eccesso
Weekend</t>
        </is>
      </c>
      <c r="AL3" s="2" t="inlineStr">
        <is>
          <t>Eccesso
Dopo 18:00</t>
        </is>
      </c>
      <c r="AM3" s="2" t="inlineStr">
        <is>
          <t>Eccesso
Mattutino</t>
        </is>
      </c>
    </row>
    <row r="4" ht="17.1" customHeight="1">
      <c r="A4" s="13" t="inlineStr">
        <is>
          <t>ALBA WILLIAM JULIAN PAZ</t>
        </is>
      </c>
      <c r="B4" s="14" t="inlineStr">
        <is>
          <t>PZLWLM96A16Z504F</t>
        </is>
      </c>
      <c r="C4" s="13" t="inlineStr">
        <is>
          <t>La programmazione - Tecninf - Fondoconoscenza</t>
        </is>
      </c>
      <c r="D4" s="15" t="n"/>
      <c r="E4" s="15" t="n"/>
      <c r="F4" s="15" t="n"/>
      <c r="G4" s="15" t="n"/>
      <c r="H4" s="16" t="n"/>
      <c r="I4" s="16" t="n"/>
      <c r="J4" s="15" t="n"/>
      <c r="K4" s="15" t="n"/>
      <c r="L4" s="15" t="n"/>
      <c r="M4" s="17" t="n">
        <v>0.002627314814814815</v>
      </c>
      <c r="N4" s="15" t="n"/>
      <c r="O4" s="16" t="n"/>
      <c r="P4" s="16" t="n"/>
      <c r="Q4" s="15" t="n"/>
      <c r="R4" s="15" t="n"/>
      <c r="S4" s="15" t="n"/>
      <c r="T4" s="15" t="n"/>
      <c r="U4" s="17" t="n">
        <v>0.001238425925925926</v>
      </c>
      <c r="V4" s="16" t="n"/>
      <c r="W4" s="16" t="n"/>
      <c r="X4" s="15" t="n"/>
      <c r="Y4" s="17" t="n">
        <v>0.0003356481481481481</v>
      </c>
      <c r="Z4" s="15" t="n"/>
      <c r="AA4" s="15" t="n"/>
      <c r="AB4" s="15" t="n"/>
      <c r="AC4" s="16" t="n"/>
      <c r="AD4" s="16" t="n"/>
      <c r="AE4" s="17" t="n">
        <v>0.001597222222222222</v>
      </c>
      <c r="AF4" s="15" t="n"/>
      <c r="AG4" s="15" t="n"/>
      <c r="AH4" s="18">
        <f>SUM(D4:AG4)</f>
        <v/>
      </c>
      <c r="AI4" s="18" t="n">
        <v>0.005798611111111111</v>
      </c>
      <c r="AJ4" s="18">
        <f>AI4-AH4</f>
        <v/>
      </c>
      <c r="AK4" s="14" t="n"/>
      <c r="AL4" s="14" t="n"/>
      <c r="AM4" s="14" t="n"/>
    </row>
    <row r="5" ht="17.1" customHeight="1">
      <c r="A5" s="13" t="inlineStr">
        <is>
          <t>BADII ALESSANDRO</t>
        </is>
      </c>
      <c r="B5" s="14" t="inlineStr">
        <is>
          <t>BDALSN01R03H501Z</t>
        </is>
      </c>
      <c r="C5" s="13" t="inlineStr">
        <is>
          <t>Big Data - Tecninf - Fondoconoscenza</t>
        </is>
      </c>
      <c r="D5" s="15" t="n"/>
      <c r="E5" s="15" t="n"/>
      <c r="F5" s="15" t="n"/>
      <c r="G5" s="15" t="n"/>
      <c r="H5" s="16" t="n"/>
      <c r="I5" s="16" t="n"/>
      <c r="J5" s="15" t="n"/>
      <c r="K5" s="15" t="n"/>
      <c r="L5" s="15" t="n"/>
      <c r="M5" s="15" t="n"/>
      <c r="N5" s="15" t="n"/>
      <c r="O5" s="16" t="n"/>
      <c r="P5" s="16" t="n"/>
      <c r="Q5" s="15" t="n"/>
      <c r="R5" s="15" t="n"/>
      <c r="S5" s="15" t="n"/>
      <c r="T5" s="15" t="n"/>
      <c r="U5" s="15" t="n"/>
      <c r="V5" s="16" t="n"/>
      <c r="W5" s="16" t="n"/>
      <c r="X5" s="15" t="n"/>
      <c r="Y5" s="15" t="n"/>
      <c r="Z5" s="15" t="n"/>
      <c r="AA5" s="15" t="n"/>
      <c r="AB5" s="15" t="n"/>
      <c r="AC5" s="16" t="n"/>
      <c r="AD5" s="16" t="n"/>
      <c r="AE5" s="15" t="n"/>
      <c r="AF5" s="15" t="n"/>
      <c r="AG5" s="15" t="n"/>
      <c r="AH5" s="18">
        <f>SUM(D5:AG5)</f>
        <v/>
      </c>
      <c r="AI5" s="14" t="n"/>
      <c r="AJ5" s="18">
        <f>AI5-AH5</f>
        <v/>
      </c>
      <c r="AK5" s="14" t="n"/>
      <c r="AL5" s="14" t="n"/>
      <c r="AM5" s="14" t="n"/>
    </row>
    <row r="6" ht="17.1" customHeight="1">
      <c r="A6" s="13" t="inlineStr">
        <is>
          <t>BADINE HICHAM</t>
        </is>
      </c>
      <c r="B6" s="14" t="inlineStr">
        <is>
          <t>BDNHHM97H19H501Q</t>
        </is>
      </c>
      <c r="C6" s="13" t="inlineStr">
        <is>
          <t>La programmazione - Tecninf - Fondoconoscenza</t>
        </is>
      </c>
      <c r="D6" s="17" t="n">
        <v>0.04643518518518518</v>
      </c>
      <c r="E6" s="17" t="n">
        <v>0.03215277777777778</v>
      </c>
      <c r="F6" s="17" t="n">
        <v>0.06297453703703704</v>
      </c>
      <c r="G6" s="15" t="n"/>
      <c r="H6" s="16" t="n"/>
      <c r="I6" s="16" t="n"/>
      <c r="J6" s="17" t="n">
        <v>0.0593287037037037</v>
      </c>
      <c r="K6" s="17" t="n">
        <v>0.07177083333333334</v>
      </c>
      <c r="L6" s="17" t="n">
        <v>0.01824074074074074</v>
      </c>
      <c r="M6" s="17" t="n">
        <v>0.02938657407407408</v>
      </c>
      <c r="N6" s="17" t="n">
        <v>0.1047800925925926</v>
      </c>
      <c r="O6" s="16" t="n"/>
      <c r="P6" s="16" t="n"/>
      <c r="Q6" s="17" t="n">
        <v>0.02875</v>
      </c>
      <c r="R6" s="15" t="n"/>
      <c r="S6" s="17" t="n">
        <v>0.03871527777777778</v>
      </c>
      <c r="T6" s="15" t="n"/>
      <c r="U6" s="15" t="n"/>
      <c r="V6" s="16" t="n"/>
      <c r="W6" s="16" t="n"/>
      <c r="X6" s="15" t="n"/>
      <c r="Y6" s="17" t="n">
        <v>0.03850694444444445</v>
      </c>
      <c r="Z6" s="17" t="n">
        <v>0.03305555555555555</v>
      </c>
      <c r="AA6" s="17" t="n">
        <v>0.04228009259259259</v>
      </c>
      <c r="AB6" s="17" t="n">
        <v>0.04769675925925926</v>
      </c>
      <c r="AC6" s="16" t="n"/>
      <c r="AD6" s="16" t="n"/>
      <c r="AE6" s="17" t="n">
        <v>0.05966435185185185</v>
      </c>
      <c r="AF6" s="17" t="n">
        <v>0.06797453703703704</v>
      </c>
      <c r="AG6" s="15" t="n"/>
      <c r="AH6" s="18">
        <f>SUM(D6:AG6)</f>
        <v/>
      </c>
      <c r="AI6" s="18" t="n">
        <v>0.781712962962963</v>
      </c>
      <c r="AJ6" s="18">
        <f>AI6-AH6</f>
        <v/>
      </c>
      <c r="AK6" s="14" t="n"/>
      <c r="AL6" s="14" t="n"/>
      <c r="AM6" s="14" t="n"/>
    </row>
    <row r="7" ht="17.1" customHeight="1">
      <c r="A7" s="13" t="inlineStr">
        <is>
          <t>BECIANI ANDREA</t>
        </is>
      </c>
      <c r="B7" s="14" t="inlineStr">
        <is>
          <t>BCNNDR82P16D773D</t>
        </is>
      </c>
      <c r="C7" s="13" t="inlineStr">
        <is>
          <t>La programmazione - Tecninf - Fondoconoscenza</t>
        </is>
      </c>
      <c r="D7" s="15" t="n"/>
      <c r="E7" s="15" t="n"/>
      <c r="F7" s="15" t="n"/>
      <c r="G7" s="15" t="n"/>
      <c r="H7" s="16" t="n"/>
      <c r="I7" s="16" t="n"/>
      <c r="J7" s="15" t="n"/>
      <c r="K7" s="15" t="n"/>
      <c r="L7" s="15" t="n"/>
      <c r="M7" s="15" t="n"/>
      <c r="N7" s="15" t="n"/>
      <c r="O7" s="16" t="n"/>
      <c r="P7" s="16" t="n"/>
      <c r="Q7" s="15" t="n"/>
      <c r="R7" s="15" t="n"/>
      <c r="S7" s="15" t="n"/>
      <c r="T7" s="15" t="n"/>
      <c r="U7" s="15" t="n"/>
      <c r="V7" s="16" t="n"/>
      <c r="W7" s="16" t="n"/>
      <c r="X7" s="15" t="n"/>
      <c r="Y7" s="15" t="n"/>
      <c r="Z7" s="15" t="n"/>
      <c r="AA7" s="15" t="n"/>
      <c r="AB7" s="15" t="n"/>
      <c r="AC7" s="16" t="n"/>
      <c r="AD7" s="16" t="n"/>
      <c r="AE7" s="15" t="n"/>
      <c r="AF7" s="15" t="n"/>
      <c r="AG7" s="15" t="n"/>
      <c r="AH7" s="18">
        <f>SUM(D7:AG7)</f>
        <v/>
      </c>
      <c r="AI7" s="14" t="n"/>
      <c r="AJ7" s="18">
        <f>AI7-AH7</f>
        <v/>
      </c>
      <c r="AK7" s="14" t="n"/>
      <c r="AL7" s="14" t="n"/>
      <c r="AM7" s="14" t="n"/>
    </row>
    <row r="8" ht="17.1" customHeight="1">
      <c r="A8" s="13" t="inlineStr">
        <is>
          <t>BOONTAWEE JUTATIP</t>
        </is>
      </c>
      <c r="B8" s="14" t="inlineStr">
        <is>
          <t>BNTJTP78S54Z241U</t>
        </is>
      </c>
      <c r="C8" s="13" t="inlineStr">
        <is>
          <t>Project Management per il digitale - Tecninf - Fondoconoscenza</t>
        </is>
      </c>
      <c r="D8" s="17" t="n">
        <v>0.05571759259259259</v>
      </c>
      <c r="E8" s="17" t="n">
        <v>0.2099421296296296</v>
      </c>
      <c r="F8" s="17" t="n">
        <v>0.01790509259259259</v>
      </c>
      <c r="G8" s="15" t="n"/>
      <c r="H8" s="16" t="n"/>
      <c r="I8" s="16" t="n"/>
      <c r="J8" s="17" t="n">
        <v>0.1994791666666667</v>
      </c>
      <c r="K8" s="17" t="n">
        <v>0.2480555555555556</v>
      </c>
      <c r="L8" s="17" t="n">
        <v>0.1748263888888889</v>
      </c>
      <c r="M8" s="17" t="n">
        <v>0.1417939814814815</v>
      </c>
      <c r="N8" s="17" t="n">
        <v>0.1898148148148148</v>
      </c>
      <c r="O8" s="16" t="n"/>
      <c r="P8" s="16" t="n"/>
      <c r="Q8" s="17" t="n">
        <v>0.1991782407407408</v>
      </c>
      <c r="R8" s="17" t="n">
        <v>0.1781481481481481</v>
      </c>
      <c r="S8" s="17" t="n">
        <v>0.1916319444444445</v>
      </c>
      <c r="T8" s="17" t="n">
        <v>0.1947685185185185</v>
      </c>
      <c r="U8" s="17" t="n">
        <v>0.2589699074074074</v>
      </c>
      <c r="V8" s="16" t="n"/>
      <c r="W8" s="16" t="n"/>
      <c r="X8" s="17" t="n">
        <v>0.1469791666666667</v>
      </c>
      <c r="Y8" s="17" t="n">
        <v>0.1396990740740741</v>
      </c>
      <c r="Z8" s="17" t="n">
        <v>0.2187037037037037</v>
      </c>
      <c r="AA8" s="17" t="n">
        <v>0.1583101851851852</v>
      </c>
      <c r="AB8" s="17" t="n">
        <v>0.1733680555555556</v>
      </c>
      <c r="AC8" s="16" t="n"/>
      <c r="AD8" s="16" t="n"/>
      <c r="AE8" s="17" t="n">
        <v>0.1711805555555556</v>
      </c>
      <c r="AF8" s="17" t="n">
        <v>0.1951157407407407</v>
      </c>
      <c r="AG8" s="15" t="n"/>
      <c r="AH8" s="18">
        <f>SUM(D8:AG8)</f>
        <v/>
      </c>
      <c r="AI8" s="18" t="n">
        <v>3.463587962962963</v>
      </c>
      <c r="AJ8" s="18">
        <f>AI8-AH8</f>
        <v/>
      </c>
      <c r="AK8" s="14" t="n"/>
      <c r="AL8" s="14" t="n"/>
      <c r="AM8" s="14" t="n"/>
    </row>
    <row r="9" ht="17.1" customHeight="1">
      <c r="A9" s="13" t="inlineStr">
        <is>
          <t>BUTTINELLI GIORGIA</t>
        </is>
      </c>
      <c r="B9" s="14" t="inlineStr">
        <is>
          <t>BTTGRG97S59G274Q</t>
        </is>
      </c>
      <c r="C9" s="13" t="inlineStr">
        <is>
          <t>Big Data - Tecninf - Fondoconoscenza</t>
        </is>
      </c>
      <c r="D9" s="19" t="n">
        <v>0.2607291666666667</v>
      </c>
      <c r="E9" s="19" t="n">
        <v>0.1955208333333333</v>
      </c>
      <c r="F9" s="19" t="n">
        <v>0.1287615740740741</v>
      </c>
      <c r="G9" s="17" t="n">
        <v>0.2148148148148148</v>
      </c>
      <c r="H9" s="16" t="n"/>
      <c r="I9" s="16" t="n"/>
      <c r="J9" s="19" t="n">
        <v>0.1853587962962963</v>
      </c>
      <c r="K9" s="19" t="n">
        <v>0.1202199074074074</v>
      </c>
      <c r="L9" s="19" t="n">
        <v>0.08833333333333333</v>
      </c>
      <c r="M9" s="17" t="n">
        <v>0.1025462962962963</v>
      </c>
      <c r="N9" s="17" t="n">
        <v>0.06815972222222222</v>
      </c>
      <c r="O9" s="16" t="n"/>
      <c r="P9" s="16" t="n"/>
      <c r="Q9" s="15" t="n"/>
      <c r="R9" s="17" t="n">
        <v>0.02699074074074074</v>
      </c>
      <c r="S9" s="15" t="n"/>
      <c r="T9" s="15" t="n"/>
      <c r="U9" s="15" t="n"/>
      <c r="V9" s="16" t="n"/>
      <c r="W9" s="16" t="n"/>
      <c r="X9" s="17" t="n">
        <v>0.1240046296296296</v>
      </c>
      <c r="Y9" s="17" t="n">
        <v>0.1409375</v>
      </c>
      <c r="Z9" s="17" t="n">
        <v>0.1291782407407407</v>
      </c>
      <c r="AA9" s="17" t="n">
        <v>0.01880787037037037</v>
      </c>
      <c r="AB9" s="17" t="n">
        <v>0.09732638888888889</v>
      </c>
      <c r="AC9" s="16" t="n"/>
      <c r="AD9" s="16" t="n"/>
      <c r="AE9" s="15" t="n"/>
      <c r="AF9" s="17" t="n">
        <v>0.01471064814814815</v>
      </c>
      <c r="AG9" s="15" t="n"/>
      <c r="AH9" s="18">
        <f>SUM(D9:AG9)</f>
        <v/>
      </c>
      <c r="AI9" s="18" t="n">
        <v>2.107280092592593</v>
      </c>
      <c r="AJ9" s="18">
        <f>AI9-AH9</f>
        <v/>
      </c>
      <c r="AK9" s="14" t="n"/>
      <c r="AL9" s="18" t="n">
        <v>0.1908796296296296</v>
      </c>
      <c r="AM9" s="14" t="n"/>
    </row>
    <row r="10" ht="17.1" customHeight="1">
      <c r="A10" s="13" t="inlineStr">
        <is>
          <t>CARABLUT VICTOR</t>
        </is>
      </c>
      <c r="B10" s="14" t="inlineStr">
        <is>
          <t>CRBVTR94A11Z140B</t>
        </is>
      </c>
      <c r="C10" s="13" t="inlineStr">
        <is>
          <t>Sicurezza Informatica - Tecninf - Fondoconoscenza</t>
        </is>
      </c>
      <c r="D10" s="15" t="n"/>
      <c r="E10" s="15" t="n"/>
      <c r="F10" s="15" t="n"/>
      <c r="G10" s="15" t="n"/>
      <c r="H10" s="16" t="n"/>
      <c r="I10" s="16" t="n"/>
      <c r="J10" s="17" t="n">
        <v>0.127974537037037</v>
      </c>
      <c r="K10" s="17" t="n">
        <v>0.1547337962962963</v>
      </c>
      <c r="L10" s="15" t="n"/>
      <c r="M10" s="15" t="n"/>
      <c r="N10" s="15" t="n"/>
      <c r="O10" s="16" t="n"/>
      <c r="P10" s="16" t="n"/>
      <c r="Q10" s="15" t="n"/>
      <c r="R10" s="15" t="n"/>
      <c r="S10" s="15" t="n"/>
      <c r="T10" s="15" t="n"/>
      <c r="U10" s="15" t="n"/>
      <c r="V10" s="16" t="n"/>
      <c r="W10" s="16" t="n"/>
      <c r="X10" s="15" t="n"/>
      <c r="Y10" s="17" t="n">
        <v>0.1402199074074074</v>
      </c>
      <c r="Z10" s="17" t="n">
        <v>0.222025462962963</v>
      </c>
      <c r="AA10" s="17" t="n">
        <v>0.01280092592592593</v>
      </c>
      <c r="AB10" s="15" t="n"/>
      <c r="AC10" s="16" t="n"/>
      <c r="AD10" s="16" t="n"/>
      <c r="AE10" s="17" t="n">
        <v>0.2192592592592593</v>
      </c>
      <c r="AF10" s="15" t="n"/>
      <c r="AG10" s="15" t="n"/>
      <c r="AH10" s="18">
        <f>SUM(D10:AG10)</f>
        <v/>
      </c>
      <c r="AI10" s="18" t="n">
        <v>0.8770138888888889</v>
      </c>
      <c r="AJ10" s="18">
        <f>AI10-AH10</f>
        <v/>
      </c>
      <c r="AK10" s="14" t="n"/>
      <c r="AL10" s="14" t="n"/>
      <c r="AM10" s="14" t="n"/>
    </row>
    <row r="11" ht="17.1" customHeight="1">
      <c r="A11" s="13" t="inlineStr">
        <is>
          <t>CECCONI ANTHONY</t>
        </is>
      </c>
      <c r="B11" s="14" t="inlineStr">
        <is>
          <t>CCCNHN91D19H501W</t>
        </is>
      </c>
      <c r="C11" s="13" t="inlineStr">
        <is>
          <t>La programmazione - Tecninf - Fondoconoscenza</t>
        </is>
      </c>
      <c r="D11" s="17" t="n">
        <v>0.1519328703703704</v>
      </c>
      <c r="E11" s="19" t="n">
        <v>0.09974537037037037</v>
      </c>
      <c r="F11" s="17" t="n">
        <v>0.1705208333333333</v>
      </c>
      <c r="G11" s="17" t="n">
        <v>0.06796296296296296</v>
      </c>
      <c r="H11" s="16" t="n"/>
      <c r="I11" s="16" t="n"/>
      <c r="J11" s="19" t="n">
        <v>0.3166550925925926</v>
      </c>
      <c r="K11" s="17" t="n">
        <v>0.1919097222222222</v>
      </c>
      <c r="L11" s="17" t="n">
        <v>0.07773148148148148</v>
      </c>
      <c r="M11" s="17" t="n">
        <v>0.1122916666666667</v>
      </c>
      <c r="N11" s="19" t="n">
        <v>0.1308680555555556</v>
      </c>
      <c r="O11" s="24" t="n">
        <v>0</v>
      </c>
      <c r="P11" s="16" t="n"/>
      <c r="Q11" s="19" t="n">
        <v>0.1809027777777778</v>
      </c>
      <c r="R11" s="17" t="n">
        <v>0.1448611111111111</v>
      </c>
      <c r="S11" s="19" t="n">
        <v>0.118599537037037</v>
      </c>
      <c r="T11" s="15" t="n"/>
      <c r="U11" s="19" t="n">
        <v>0.1037384259259259</v>
      </c>
      <c r="V11" s="16" t="n"/>
      <c r="W11" s="16" t="n"/>
      <c r="X11" s="19" t="n">
        <v>0.1179050925925926</v>
      </c>
      <c r="Y11" s="17" t="n">
        <v>0.1747569444444445</v>
      </c>
      <c r="Z11" s="17" t="n">
        <v>0.196400462962963</v>
      </c>
      <c r="AA11" s="17" t="n">
        <v>0.1583796296296296</v>
      </c>
      <c r="AB11" s="17" t="n">
        <v>0.05802083333333333</v>
      </c>
      <c r="AC11" s="16" t="n"/>
      <c r="AD11" s="16" t="n"/>
      <c r="AE11" s="17" t="n">
        <v>0.2743402777777778</v>
      </c>
      <c r="AF11" s="17" t="n">
        <v>0.06291666666666666</v>
      </c>
      <c r="AG11" s="15" t="n"/>
      <c r="AH11" s="18">
        <f>SUM(D11:AG11)</f>
        <v/>
      </c>
      <c r="AI11" s="18" t="n">
        <v>3.007141203703704</v>
      </c>
      <c r="AJ11" s="18">
        <f>AI11-AH11</f>
        <v/>
      </c>
      <c r="AK11" s="18" t="n">
        <v>0.01870370370370371</v>
      </c>
      <c r="AL11" s="18" t="n">
        <v>0.07799768518518518</v>
      </c>
      <c r="AM11" s="14" t="n"/>
    </row>
    <row r="12" ht="17.1" customHeight="1">
      <c r="A12" s="13" t="inlineStr">
        <is>
          <t>CHIARA GOBBI MARIA</t>
        </is>
      </c>
      <c r="B12" s="14" t="inlineStr">
        <is>
          <t>GBBMCH73R57H501G</t>
        </is>
      </c>
      <c r="C12" s="13" t="inlineStr">
        <is>
          <t>L'ufficio digitale - Tecninf - Fondoconoscenza</t>
        </is>
      </c>
      <c r="D12" s="15" t="n"/>
      <c r="E12" s="17" t="n">
        <v>0.1766666666666667</v>
      </c>
      <c r="F12" s="15" t="n"/>
      <c r="G12" s="15" t="n"/>
      <c r="H12" s="16" t="n"/>
      <c r="I12" s="16" t="n"/>
      <c r="J12" s="17" t="n">
        <v>0.1468171296296296</v>
      </c>
      <c r="K12" s="17" t="n">
        <v>0.1276851851851852</v>
      </c>
      <c r="L12" s="15" t="n"/>
      <c r="M12" s="17" t="n">
        <v>0.1838194444444445</v>
      </c>
      <c r="N12" s="17" t="n">
        <v>0.1799768518518519</v>
      </c>
      <c r="O12" s="16" t="n"/>
      <c r="P12" s="16" t="n"/>
      <c r="Q12" s="17" t="n">
        <v>0.2005208333333333</v>
      </c>
      <c r="R12" s="17" t="n">
        <v>0.1672685185185185</v>
      </c>
      <c r="S12" s="17" t="n">
        <v>0.1629166666666667</v>
      </c>
      <c r="T12" s="17" t="n">
        <v>0.1851851851851852</v>
      </c>
      <c r="U12" s="17" t="n">
        <v>0.1040972222222222</v>
      </c>
      <c r="V12" s="16" t="n"/>
      <c r="W12" s="16" t="n"/>
      <c r="X12" s="15" t="n"/>
      <c r="Y12" s="15" t="n"/>
      <c r="Z12" s="15" t="n"/>
      <c r="AA12" s="15" t="n"/>
      <c r="AB12" s="15" t="n"/>
      <c r="AC12" s="16" t="n"/>
      <c r="AD12" s="16" t="n"/>
      <c r="AE12" s="15" t="n"/>
      <c r="AF12" s="15" t="n"/>
      <c r="AG12" s="15" t="n"/>
      <c r="AH12" s="18">
        <f>SUM(D12:AG12)</f>
        <v/>
      </c>
      <c r="AI12" s="18" t="n">
        <v>1.634953703703704</v>
      </c>
      <c r="AJ12" s="18">
        <f>AI12-AH12</f>
        <v/>
      </c>
      <c r="AK12" s="14" t="n"/>
      <c r="AL12" s="14" t="n"/>
      <c r="AM12" s="14" t="n"/>
    </row>
    <row r="13" ht="17.1" customHeight="1">
      <c r="A13" s="13" t="inlineStr">
        <is>
          <t>LIMETTI ION</t>
        </is>
      </c>
      <c r="B13" s="14" t="inlineStr">
        <is>
          <t>LMTNIO94M03Z129S</t>
        </is>
      </c>
      <c r="C13" s="13" t="inlineStr">
        <is>
          <t>Big Data - Tecninf - Fondoconoscenza</t>
        </is>
      </c>
      <c r="D13" s="15" t="n"/>
      <c r="E13" s="15" t="n"/>
      <c r="F13" s="15" t="n"/>
      <c r="G13" s="15" t="n"/>
      <c r="H13" s="16" t="n"/>
      <c r="I13" s="16" t="n"/>
      <c r="J13" s="15" t="n"/>
      <c r="K13" s="15" t="n"/>
      <c r="L13" s="15" t="n"/>
      <c r="M13" s="15" t="n"/>
      <c r="N13" s="15" t="n"/>
      <c r="O13" s="16" t="n"/>
      <c r="P13" s="16" t="n"/>
      <c r="Q13" s="15" t="n"/>
      <c r="R13" s="15" t="n"/>
      <c r="S13" s="15" t="n"/>
      <c r="T13" s="15" t="n"/>
      <c r="U13" s="15" t="n"/>
      <c r="V13" s="16" t="n"/>
      <c r="W13" s="16" t="n"/>
      <c r="X13" s="15" t="n"/>
      <c r="Y13" s="15" t="n"/>
      <c r="Z13" s="15" t="n"/>
      <c r="AA13" s="15" t="n"/>
      <c r="AB13" s="15" t="n"/>
      <c r="AC13" s="16" t="n"/>
      <c r="AD13" s="16" t="n"/>
      <c r="AE13" s="15" t="n"/>
      <c r="AF13" s="15" t="n"/>
      <c r="AG13" s="15" t="n"/>
      <c r="AH13" s="18">
        <f>SUM(D13:AG13)</f>
        <v/>
      </c>
      <c r="AI13" s="14" t="n"/>
      <c r="AJ13" s="18">
        <f>AI13-AH13</f>
        <v/>
      </c>
      <c r="AK13" s="14" t="n"/>
      <c r="AL13" s="14" t="n"/>
      <c r="AM13" s="14" t="n"/>
    </row>
    <row r="14" ht="17.1" customHeight="1">
      <c r="A14" s="13" t="inlineStr">
        <is>
          <t>LUCA' VERONICA</t>
        </is>
      </c>
      <c r="B14" s="14" t="inlineStr">
        <is>
          <t>LCUVNC85L52D976T</t>
        </is>
      </c>
      <c r="C14" s="13" t="inlineStr">
        <is>
          <t>Big Data - Tecninf - Fondoconoscenza</t>
        </is>
      </c>
      <c r="D14" s="15" t="n"/>
      <c r="E14" s="15" t="n"/>
      <c r="F14" s="15" t="n"/>
      <c r="G14" s="15" t="n"/>
      <c r="H14" s="16" t="n"/>
      <c r="I14" s="16" t="n"/>
      <c r="J14" s="15" t="n"/>
      <c r="K14" s="15" t="n"/>
      <c r="L14" s="15" t="n"/>
      <c r="M14" s="15" t="n"/>
      <c r="N14" s="15" t="n"/>
      <c r="O14" s="16" t="n"/>
      <c r="P14" s="16" t="n"/>
      <c r="Q14" s="15" t="n"/>
      <c r="R14" s="15" t="n"/>
      <c r="S14" s="15" t="n"/>
      <c r="T14" s="15" t="n"/>
      <c r="U14" s="15" t="n"/>
      <c r="V14" s="16" t="n"/>
      <c r="W14" s="16" t="n"/>
      <c r="X14" s="15" t="n"/>
      <c r="Y14" s="15" t="n"/>
      <c r="Z14" s="15" t="n"/>
      <c r="AA14" s="15" t="n"/>
      <c r="AB14" s="15" t="n"/>
      <c r="AC14" s="16" t="n"/>
      <c r="AD14" s="16" t="n"/>
      <c r="AE14" s="15" t="n"/>
      <c r="AF14" s="15" t="n"/>
      <c r="AG14" s="15" t="n"/>
      <c r="AH14" s="18">
        <f>SUM(D14:AG14)</f>
        <v/>
      </c>
      <c r="AI14" s="14" t="n"/>
      <c r="AJ14" s="18">
        <f>AI14-AH14</f>
        <v/>
      </c>
      <c r="AK14" s="14" t="n"/>
      <c r="AL14" s="14" t="n"/>
      <c r="AM14" s="14" t="n"/>
    </row>
    <row r="15" ht="17.1" customHeight="1">
      <c r="A15" s="13" t="inlineStr">
        <is>
          <t>MAGNANINI LORENZO</t>
        </is>
      </c>
      <c r="B15" s="14" t="inlineStr">
        <is>
          <t>MGNLNZ97M04H501T</t>
        </is>
      </c>
      <c r="C15" s="13" t="inlineStr">
        <is>
          <t>La programmazione - Tecninf - Fondoconoscenza</t>
        </is>
      </c>
      <c r="D15" s="17" t="n">
        <v>0.06626157407407407</v>
      </c>
      <c r="E15" s="15" t="n"/>
      <c r="F15" s="17" t="n">
        <v>0.002013888888888889</v>
      </c>
      <c r="G15" s="17" t="n">
        <v>0.006203703703703703</v>
      </c>
      <c r="H15" s="16" t="n"/>
      <c r="I15" s="16" t="n"/>
      <c r="J15" s="15" t="n"/>
      <c r="K15" s="17" t="n">
        <v>0.01293981481481482</v>
      </c>
      <c r="L15" s="17" t="n">
        <v>0.004733796296296297</v>
      </c>
      <c r="M15" s="15" t="n"/>
      <c r="N15" s="15" t="n"/>
      <c r="O15" s="16" t="n"/>
      <c r="P15" s="16" t="n"/>
      <c r="Q15" s="15" t="n"/>
      <c r="R15" s="15" t="n"/>
      <c r="S15" s="15" t="n"/>
      <c r="T15" s="15" t="n"/>
      <c r="U15" s="15" t="n"/>
      <c r="V15" s="16" t="n"/>
      <c r="W15" s="16" t="n"/>
      <c r="X15" s="15" t="n"/>
      <c r="Y15" s="15" t="n"/>
      <c r="Z15" s="15" t="n"/>
      <c r="AA15" s="15" t="n"/>
      <c r="AB15" s="15" t="n"/>
      <c r="AC15" s="16" t="n"/>
      <c r="AD15" s="16" t="n"/>
      <c r="AE15" s="15" t="n"/>
      <c r="AF15" s="15" t="n"/>
      <c r="AG15" s="15" t="n"/>
      <c r="AH15" s="18">
        <f>SUM(D15:AG15)</f>
        <v/>
      </c>
      <c r="AI15" s="18" t="n">
        <v>0.09215277777777778</v>
      </c>
      <c r="AJ15" s="18">
        <f>AI15-AH15</f>
        <v/>
      </c>
      <c r="AK15" s="14" t="n"/>
      <c r="AL15" s="14" t="n"/>
      <c r="AM15" s="14" t="n"/>
    </row>
    <row r="16" ht="17.1" customHeight="1">
      <c r="A16" s="13" t="inlineStr">
        <is>
          <t>MARIANI ALESSIA</t>
        </is>
      </c>
      <c r="B16" s="14" t="inlineStr">
        <is>
          <t>MRNLSS75L68H501L</t>
        </is>
      </c>
      <c r="C16" s="13" t="inlineStr">
        <is>
          <t>Big Data - Tecninf - Fondoconoscenza</t>
        </is>
      </c>
      <c r="D16" s="17" t="n">
        <v>0.1448726851851852</v>
      </c>
      <c r="E16" s="17" t="n">
        <v>0.1514236111111111</v>
      </c>
      <c r="F16" s="17" t="n">
        <v>0.2456018518518518</v>
      </c>
      <c r="G16" s="17" t="n">
        <v>0.2878587962962963</v>
      </c>
      <c r="H16" s="16" t="n"/>
      <c r="I16" s="16" t="n"/>
      <c r="J16" s="17" t="n">
        <v>0.1880439814814815</v>
      </c>
      <c r="K16" s="17" t="n">
        <v>0.05454861111111111</v>
      </c>
      <c r="L16" s="17" t="n">
        <v>0.1412847222222222</v>
      </c>
      <c r="M16" s="17" t="n">
        <v>0.1412962962962963</v>
      </c>
      <c r="N16" s="19" t="n">
        <v>0.1482986111111111</v>
      </c>
      <c r="O16" s="16" t="n"/>
      <c r="P16" s="16" t="n"/>
      <c r="Q16" s="17" t="n">
        <v>0.1604513888888889</v>
      </c>
      <c r="R16" s="17" t="n">
        <v>0.203587962962963</v>
      </c>
      <c r="S16" s="17" t="n">
        <v>0.1520833333333333</v>
      </c>
      <c r="T16" s="17" t="n">
        <v>0.1769328703703704</v>
      </c>
      <c r="U16" s="19" t="n">
        <v>0.199525462962963</v>
      </c>
      <c r="V16" s="16" t="n"/>
      <c r="W16" s="16" t="n"/>
      <c r="X16" s="17" t="n">
        <v>0.1405324074074074</v>
      </c>
      <c r="Y16" s="19" t="n">
        <v>0.2042361111111111</v>
      </c>
      <c r="Z16" s="17" t="n">
        <v>0.1773032407407407</v>
      </c>
      <c r="AA16" s="17" t="n">
        <v>0.1365393518518518</v>
      </c>
      <c r="AB16" s="17" t="n">
        <v>0.1650347222222222</v>
      </c>
      <c r="AC16" s="16" t="n"/>
      <c r="AD16" s="16" t="n"/>
      <c r="AE16" s="17" t="n">
        <v>0.1541782407407407</v>
      </c>
      <c r="AF16" s="19" t="n">
        <v>0.1543287037037037</v>
      </c>
      <c r="AG16" s="15" t="n"/>
      <c r="AH16" s="18">
        <f>SUM(D16:AG16)</f>
        <v/>
      </c>
      <c r="AI16" s="18" t="n">
        <v>3.551145833333333</v>
      </c>
      <c r="AJ16" s="18">
        <f>AI16-AH16</f>
        <v/>
      </c>
      <c r="AK16" s="14" t="n"/>
      <c r="AL16" s="18" t="n">
        <v>0.02318287037037037</v>
      </c>
      <c r="AM16" s="14" t="n"/>
    </row>
    <row r="17" ht="17.1" customHeight="1">
      <c r="A17" s="13" t="inlineStr">
        <is>
          <t>MASCELLINO GIULIO</t>
        </is>
      </c>
      <c r="B17" s="14" t="inlineStr">
        <is>
          <t>MSCGLI83C04G511L</t>
        </is>
      </c>
      <c r="C17" s="13" t="inlineStr">
        <is>
          <t>Big Data - Tecninf - Fondoconoscenza</t>
        </is>
      </c>
      <c r="D17" s="15" t="n"/>
      <c r="E17" s="15" t="n"/>
      <c r="F17" s="15" t="n"/>
      <c r="G17" s="15" t="n"/>
      <c r="H17" s="16" t="n"/>
      <c r="I17" s="16" t="n"/>
      <c r="J17" s="15" t="n"/>
      <c r="K17" s="15" t="n"/>
      <c r="L17" s="15" t="n"/>
      <c r="M17" s="15" t="n"/>
      <c r="N17" s="15" t="n"/>
      <c r="O17" s="16" t="n"/>
      <c r="P17" s="16" t="n"/>
      <c r="Q17" s="15" t="n"/>
      <c r="R17" s="15" t="n"/>
      <c r="S17" s="15" t="n"/>
      <c r="T17" s="15" t="n"/>
      <c r="U17" s="15" t="n"/>
      <c r="V17" s="16" t="n"/>
      <c r="W17" s="16" t="n"/>
      <c r="X17" s="17" t="n">
        <v>0.03550925925925926</v>
      </c>
      <c r="Y17" s="17" t="n">
        <v>0.1594675925925926</v>
      </c>
      <c r="Z17" s="17" t="n">
        <v>0.157337962962963</v>
      </c>
      <c r="AA17" s="17" t="n">
        <v>0.08393518518518518</v>
      </c>
      <c r="AB17" s="17" t="n">
        <v>0.1725231481481481</v>
      </c>
      <c r="AC17" s="16" t="n"/>
      <c r="AD17" s="16" t="n"/>
      <c r="AE17" s="19" t="n">
        <v>0.2033449074074074</v>
      </c>
      <c r="AF17" s="19" t="n">
        <v>0.3023032407407407</v>
      </c>
      <c r="AG17" s="15" t="n"/>
      <c r="AH17" s="18">
        <f>SUM(D17:AG17)</f>
        <v/>
      </c>
      <c r="AI17" s="18" t="n">
        <v>1.120752314814815</v>
      </c>
      <c r="AJ17" s="18">
        <f>AI17-AH17</f>
        <v/>
      </c>
      <c r="AK17" s="14" t="n"/>
      <c r="AL17" s="18" t="n">
        <v>0.006331018518518519</v>
      </c>
      <c r="AM17" s="14" t="n"/>
    </row>
    <row r="18" ht="17.1" customHeight="1">
      <c r="A18" s="13" t="inlineStr">
        <is>
          <t>PACPACO MICHAEL DEPOLLY</t>
        </is>
      </c>
      <c r="B18" s="14" t="inlineStr">
        <is>
          <t>PCPMHL00R03H501G</t>
        </is>
      </c>
      <c r="C18" s="13" t="inlineStr">
        <is>
          <t>La programmazione - Tecninf - Fondoconoscenza</t>
        </is>
      </c>
      <c r="D18" s="17" t="n">
        <v>0.08709490740740741</v>
      </c>
      <c r="E18" s="17" t="n">
        <v>0.2253587962962963</v>
      </c>
      <c r="F18" s="17" t="n">
        <v>0.2220601851851852</v>
      </c>
      <c r="G18" s="19" t="n">
        <v>0.2487731481481482</v>
      </c>
      <c r="H18" s="16" t="n"/>
      <c r="I18" s="16" t="n"/>
      <c r="J18" s="17" t="n">
        <v>0.2860763888888889</v>
      </c>
      <c r="K18" s="17" t="n">
        <v>0.2282060185185185</v>
      </c>
      <c r="L18" s="17" t="n">
        <v>0.236099537037037</v>
      </c>
      <c r="M18" s="17" t="n">
        <v>0.2485532407407407</v>
      </c>
      <c r="N18" s="17" t="n">
        <v>0.2891435185185185</v>
      </c>
      <c r="O18" s="16" t="n"/>
      <c r="P18" s="16" t="n"/>
      <c r="Q18" s="19" t="n">
        <v>0.2235416666666667</v>
      </c>
      <c r="R18" s="19" t="n">
        <v>0.1866087962962963</v>
      </c>
      <c r="S18" s="19" t="n">
        <v>0.1854398148148148</v>
      </c>
      <c r="T18" s="19" t="n">
        <v>0.167025462962963</v>
      </c>
      <c r="U18" s="19" t="n">
        <v>0.1535763888888889</v>
      </c>
      <c r="V18" s="16" t="n"/>
      <c r="W18" s="16" t="n"/>
      <c r="X18" s="17" t="n">
        <v>0.2706712962962963</v>
      </c>
      <c r="Y18" s="17" t="n">
        <v>0.1710069444444444</v>
      </c>
      <c r="Z18" s="17" t="n">
        <v>0.07150462962962963</v>
      </c>
      <c r="AA18" s="15" t="n"/>
      <c r="AB18" s="17" t="n">
        <v>0.09427083333333333</v>
      </c>
      <c r="AC18" s="16" t="n"/>
      <c r="AD18" s="16" t="n"/>
      <c r="AE18" s="17" t="n">
        <v>0.100625</v>
      </c>
      <c r="AF18" s="17" t="n">
        <v>0.1332175925925926</v>
      </c>
      <c r="AG18" s="15" t="n"/>
      <c r="AH18" s="18">
        <f>SUM(D18:AG18)</f>
        <v/>
      </c>
      <c r="AI18" s="18" t="n">
        <v>3.842164351851852</v>
      </c>
      <c r="AJ18" s="18">
        <f>AI18-AH18</f>
        <v/>
      </c>
      <c r="AK18" s="14" t="n"/>
      <c r="AL18" s="18" t="n">
        <v>0.01331018518518519</v>
      </c>
      <c r="AM18" s="14" t="n"/>
    </row>
    <row r="19" ht="17.1" customHeight="1">
      <c r="A19" s="13" t="inlineStr">
        <is>
          <t>PASSIO ROBERTA</t>
        </is>
      </c>
      <c r="B19" s="14" t="inlineStr">
        <is>
          <t>PSSRRT76L56H501O</t>
        </is>
      </c>
      <c r="C19" s="13" t="inlineStr">
        <is>
          <t>Sicurezza Informatica - Tecninf - Fondoconoscenza</t>
        </is>
      </c>
      <c r="D19" s="17" t="n">
        <v>0.1027662037037037</v>
      </c>
      <c r="E19" s="17" t="n">
        <v>0.1825</v>
      </c>
      <c r="F19" s="17" t="n">
        <v>0.2021875</v>
      </c>
      <c r="G19" s="17" t="n">
        <v>0.2082407407407408</v>
      </c>
      <c r="H19" s="16" t="n"/>
      <c r="I19" s="16" t="n"/>
      <c r="J19" s="17" t="n">
        <v>0.07033564814814815</v>
      </c>
      <c r="K19" s="17" t="n">
        <v>0.1458564814814815</v>
      </c>
      <c r="L19" s="17" t="n">
        <v>0.1668981481481482</v>
      </c>
      <c r="M19" s="17" t="n">
        <v>0.1569444444444444</v>
      </c>
      <c r="N19" s="17" t="n">
        <v>0.174537037037037</v>
      </c>
      <c r="O19" s="16" t="n"/>
      <c r="P19" s="16" t="n"/>
      <c r="Q19" s="17" t="n">
        <v>0.1038194444444445</v>
      </c>
      <c r="R19" s="15" t="n"/>
      <c r="S19" s="15" t="n"/>
      <c r="T19" s="15" t="n"/>
      <c r="U19" s="15" t="n"/>
      <c r="V19" s="16" t="n"/>
      <c r="W19" s="16" t="n"/>
      <c r="X19" s="15" t="n"/>
      <c r="Y19" s="15" t="n"/>
      <c r="Z19" s="15" t="n"/>
      <c r="AA19" s="15" t="n"/>
      <c r="AB19" s="15" t="n"/>
      <c r="AC19" s="16" t="n"/>
      <c r="AD19" s="16" t="n"/>
      <c r="AE19" s="15" t="n"/>
      <c r="AF19" s="15" t="n"/>
      <c r="AG19" s="15" t="n"/>
      <c r="AH19" s="18">
        <f>SUM(D19:AG19)</f>
        <v/>
      </c>
      <c r="AI19" s="18" t="n">
        <v>1.514085648148148</v>
      </c>
      <c r="AJ19" s="18">
        <f>AI19-AH19</f>
        <v/>
      </c>
      <c r="AK19" s="14" t="n"/>
      <c r="AL19" s="14" t="n"/>
      <c r="AM19" s="14" t="n"/>
    </row>
    <row r="20" ht="17.1" customHeight="1">
      <c r="A20" s="13" t="inlineStr">
        <is>
          <t>PERILLA GIAN LEO GAMES</t>
        </is>
      </c>
      <c r="B20" s="14" t="inlineStr">
        <is>
          <t>PRLGLG98M18H501X</t>
        </is>
      </c>
      <c r="C20" s="13" t="inlineStr">
        <is>
          <t>Big Data - Tecninf - Fondoconoscenza</t>
        </is>
      </c>
      <c r="D20" s="15" t="n"/>
      <c r="E20" s="17" t="n">
        <v>0.00917824074074074</v>
      </c>
      <c r="F20" s="17" t="n">
        <v>0.02784722222222222</v>
      </c>
      <c r="G20" s="15" t="n"/>
      <c r="H20" s="16" t="n"/>
      <c r="I20" s="16" t="n"/>
      <c r="J20" s="17" t="n">
        <v>0.02412037037037037</v>
      </c>
      <c r="K20" s="15" t="n"/>
      <c r="L20" s="15" t="n"/>
      <c r="M20" s="15" t="n"/>
      <c r="N20" s="15" t="n"/>
      <c r="O20" s="16" t="n"/>
      <c r="P20" s="16" t="n"/>
      <c r="Q20" s="15" t="n"/>
      <c r="R20" s="15" t="n"/>
      <c r="S20" s="15" t="n"/>
      <c r="T20" s="15" t="n"/>
      <c r="U20" s="15" t="n"/>
      <c r="V20" s="16" t="n"/>
      <c r="W20" s="16" t="n"/>
      <c r="X20" s="15" t="n"/>
      <c r="Y20" s="19" t="n">
        <v>0.007997685185185186</v>
      </c>
      <c r="Z20" s="15" t="n"/>
      <c r="AA20" s="15" t="n"/>
      <c r="AB20" s="17" t="n">
        <v>0.06016203703703703</v>
      </c>
      <c r="AC20" s="16" t="n"/>
      <c r="AD20" s="16" t="n"/>
      <c r="AE20" s="17" t="n">
        <v>0.006122685185185185</v>
      </c>
      <c r="AF20" s="17" t="n">
        <v>0.006180555555555555</v>
      </c>
      <c r="AG20" s="15" t="n"/>
      <c r="AH20" s="18">
        <f>SUM(D20:AG20)</f>
        <v/>
      </c>
      <c r="AI20" s="18" t="n">
        <v>0.1460185185185185</v>
      </c>
      <c r="AJ20" s="18">
        <f>AI20-AH20</f>
        <v/>
      </c>
      <c r="AK20" s="14" t="n"/>
      <c r="AL20" s="18" t="n">
        <v>0.004409722222222222</v>
      </c>
      <c r="AM20" s="14" t="n"/>
    </row>
    <row r="21" ht="17.1" customHeight="1">
      <c r="A21" s="13" t="inlineStr">
        <is>
          <t>PINNA ROBERTO CAO</t>
        </is>
      </c>
      <c r="B21" s="14" t="inlineStr">
        <is>
          <t>CPNRRT66D27H501V</t>
        </is>
      </c>
      <c r="C21" s="13" t="inlineStr">
        <is>
          <t>Project Management per il digitale - Tecninf - Fondoconoscenza</t>
        </is>
      </c>
      <c r="D21" s="17" t="n">
        <v>0.1191435185185185</v>
      </c>
      <c r="E21" s="17" t="n">
        <v>0.1536458333333333</v>
      </c>
      <c r="F21" s="17" t="n">
        <v>0.1906597222222222</v>
      </c>
      <c r="G21" s="17" t="n">
        <v>0.1965162037037037</v>
      </c>
      <c r="H21" s="16" t="n"/>
      <c r="I21" s="16" t="n"/>
      <c r="J21" s="17" t="n">
        <v>0.1226388888888889</v>
      </c>
      <c r="K21" s="17" t="n">
        <v>0.2107060185185185</v>
      </c>
      <c r="L21" s="17" t="n">
        <v>0.1675694444444444</v>
      </c>
      <c r="M21" s="17" t="n">
        <v>0.1891319444444444</v>
      </c>
      <c r="N21" s="17" t="n">
        <v>0.222974537037037</v>
      </c>
      <c r="O21" s="16" t="n"/>
      <c r="P21" s="16" t="n"/>
      <c r="Q21" s="17" t="n">
        <v>0.2021296296296296</v>
      </c>
      <c r="R21" s="17" t="n">
        <v>0.2114351851851852</v>
      </c>
      <c r="S21" s="17" t="n">
        <v>0.2153009259259259</v>
      </c>
      <c r="T21" s="17" t="n">
        <v>0.1035416666666667</v>
      </c>
      <c r="U21" s="17" t="n">
        <v>0.1752662037037037</v>
      </c>
      <c r="V21" s="16" t="n"/>
      <c r="W21" s="16" t="n"/>
      <c r="X21" s="17" t="n">
        <v>0.1568287037037037</v>
      </c>
      <c r="Y21" s="17" t="n">
        <v>0.1520833333333333</v>
      </c>
      <c r="Z21" s="17" t="n">
        <v>0.1534953703703704</v>
      </c>
      <c r="AA21" s="17" t="n">
        <v>0.1711805555555556</v>
      </c>
      <c r="AB21" s="17" t="n">
        <v>0.157337962962963</v>
      </c>
      <c r="AC21" s="16" t="n"/>
      <c r="AD21" s="16" t="n"/>
      <c r="AE21" s="17" t="n">
        <v>0.1544444444444444</v>
      </c>
      <c r="AF21" s="17" t="n">
        <v>0.1817824074074074</v>
      </c>
      <c r="AG21" s="15" t="n"/>
      <c r="AH21" s="18">
        <f>SUM(D21:AG21)</f>
        <v/>
      </c>
      <c r="AI21" s="18" t="n">
        <v>3.6078125</v>
      </c>
      <c r="AJ21" s="18">
        <f>AI21-AH21</f>
        <v/>
      </c>
      <c r="AK21" s="14" t="n"/>
      <c r="AL21" s="14" t="n"/>
      <c r="AM21" s="14" t="n"/>
    </row>
    <row r="22" ht="17.1" customHeight="1">
      <c r="A22" s="13" t="inlineStr">
        <is>
          <t>POGGI ROBERTO</t>
        </is>
      </c>
      <c r="B22" s="14" t="inlineStr">
        <is>
          <t>PGGRRT91H07F839Q</t>
        </is>
      </c>
      <c r="C22" s="13" t="inlineStr">
        <is>
          <t>Big Data - Tecninf - Fondoconoscenza</t>
        </is>
      </c>
      <c r="D22" s="17" t="n">
        <v>0.1073263888888889</v>
      </c>
      <c r="E22" s="15" t="n"/>
      <c r="F22" s="15" t="n"/>
      <c r="G22" s="15" t="n"/>
      <c r="H22" s="16" t="n"/>
      <c r="I22" s="16" t="n"/>
      <c r="J22" s="15" t="n"/>
      <c r="K22" s="19" t="n">
        <v>0.1786111111111111</v>
      </c>
      <c r="L22" s="19" t="n">
        <v>0.2120486111111111</v>
      </c>
      <c r="M22" s="17" t="n">
        <v>0.1059953703703704</v>
      </c>
      <c r="N22" s="15" t="n"/>
      <c r="O22" s="16" t="n"/>
      <c r="P22" s="16" t="n"/>
      <c r="Q22" s="15" t="n"/>
      <c r="R22" s="15" t="n"/>
      <c r="S22" s="15" t="n"/>
      <c r="T22" s="15" t="n"/>
      <c r="U22" s="15" t="n"/>
      <c r="V22" s="16" t="n"/>
      <c r="W22" s="16" t="n"/>
      <c r="X22" s="15" t="n"/>
      <c r="Y22" s="15" t="n"/>
      <c r="Z22" s="15" t="n"/>
      <c r="AA22" s="15" t="n"/>
      <c r="AB22" s="15" t="n"/>
      <c r="AC22" s="16" t="n"/>
      <c r="AD22" s="16" t="n"/>
      <c r="AE22" s="15" t="n"/>
      <c r="AF22" s="15" t="n"/>
      <c r="AG22" s="15" t="n"/>
      <c r="AH22" s="18">
        <f>SUM(D22:AG22)</f>
        <v/>
      </c>
      <c r="AI22" s="18" t="n">
        <v>0.7374305555555556</v>
      </c>
      <c r="AJ22" s="18">
        <f>AI22-AH22</f>
        <v/>
      </c>
      <c r="AK22" s="14" t="n"/>
      <c r="AL22" s="18" t="n">
        <v>0.1334490740740741</v>
      </c>
      <c r="AM22" s="14" t="n"/>
    </row>
    <row r="23" ht="17.1" customHeight="1">
      <c r="A23" s="13" t="inlineStr">
        <is>
          <t>PRASAD RAKESH KUMAR</t>
        </is>
      </c>
      <c r="B23" s="14" t="inlineStr">
        <is>
          <t>PRSRSH87S19H501S</t>
        </is>
      </c>
      <c r="C23" s="13" t="inlineStr">
        <is>
          <t>Sicurezza Informatica - Tecninf - Fondoconoscenza</t>
        </is>
      </c>
      <c r="D23" s="15" t="n"/>
      <c r="E23" s="15" t="n"/>
      <c r="F23" s="15" t="n"/>
      <c r="G23" s="15" t="n"/>
      <c r="H23" s="16" t="n"/>
      <c r="I23" s="16" t="n"/>
      <c r="J23" s="15" t="n"/>
      <c r="K23" s="15" t="n"/>
      <c r="L23" s="15" t="n"/>
      <c r="M23" s="15" t="n"/>
      <c r="N23" s="15" t="n"/>
      <c r="O23" s="16" t="n"/>
      <c r="P23" s="16" t="n"/>
      <c r="Q23" s="15" t="n"/>
      <c r="R23" s="17" t="n">
        <v>0.009120370370370371</v>
      </c>
      <c r="S23" s="17" t="n">
        <v>0.1096412037037037</v>
      </c>
      <c r="T23" s="17" t="n">
        <v>0.1250925925925926</v>
      </c>
      <c r="U23" s="17" t="n">
        <v>0.09756944444444444</v>
      </c>
      <c r="V23" s="16" t="n"/>
      <c r="W23" s="16" t="n"/>
      <c r="X23" s="17" t="n">
        <v>0.0732175925925926</v>
      </c>
      <c r="Y23" s="17" t="n">
        <v>0.06528935185185185</v>
      </c>
      <c r="Z23" s="17" t="n">
        <v>0.1164236111111111</v>
      </c>
      <c r="AA23" s="17" t="n">
        <v>0.1275810185185185</v>
      </c>
      <c r="AB23" s="17" t="n">
        <v>0.1328125</v>
      </c>
      <c r="AC23" s="16" t="n"/>
      <c r="AD23" s="16" t="n"/>
      <c r="AE23" s="17" t="n">
        <v>0.122962962962963</v>
      </c>
      <c r="AF23" s="19" t="n">
        <v>0.09324074074074074</v>
      </c>
      <c r="AG23" s="15" t="n"/>
      <c r="AH23" s="18">
        <f>SUM(D23:AG23)</f>
        <v/>
      </c>
      <c r="AI23" s="18" t="n">
        <v>1.080069444444445</v>
      </c>
      <c r="AJ23" s="18">
        <f>AI23-AH23</f>
        <v/>
      </c>
      <c r="AK23" s="14" t="n"/>
      <c r="AL23" s="18" t="n">
        <v>0.007118055555555555</v>
      </c>
      <c r="AM23" s="14" t="n"/>
    </row>
    <row r="24" ht="17.1" customHeight="1">
      <c r="A24" s="13" t="inlineStr">
        <is>
          <t>PUDDU RAIMONDO</t>
        </is>
      </c>
      <c r="B24" s="14" t="inlineStr">
        <is>
          <t>PDDRND75R08H501S</t>
        </is>
      </c>
      <c r="C24" s="13" t="inlineStr">
        <is>
          <t>Big Data - Tecninf - Fondoconoscenza</t>
        </is>
      </c>
      <c r="D24" s="17" t="n">
        <v>0.1399189814814815</v>
      </c>
      <c r="E24" s="19" t="n">
        <v>0.1698842592592593</v>
      </c>
      <c r="F24" s="19" t="n">
        <v>0.05256944444444445</v>
      </c>
      <c r="G24" s="17" t="n">
        <v>0.15875</v>
      </c>
      <c r="H24" s="16" t="n"/>
      <c r="I24" s="16" t="n"/>
      <c r="J24" s="17" t="n">
        <v>0.1597569444444444</v>
      </c>
      <c r="K24" s="17" t="n">
        <v>0.136875</v>
      </c>
      <c r="L24" s="17" t="n">
        <v>0.1196527777777778</v>
      </c>
      <c r="M24" s="19" t="n">
        <v>0.1290277777777778</v>
      </c>
      <c r="N24" s="15" t="n"/>
      <c r="O24" s="16" t="n"/>
      <c r="P24" s="16" t="n"/>
      <c r="Q24" s="19" t="n">
        <v>0.213900462962963</v>
      </c>
      <c r="R24" s="17" t="n">
        <v>0.04962962962962963</v>
      </c>
      <c r="S24" s="17" t="n">
        <v>0.09811342592592592</v>
      </c>
      <c r="T24" s="17" t="n">
        <v>0.1297337962962963</v>
      </c>
      <c r="U24" s="17" t="n">
        <v>0.1651851851851852</v>
      </c>
      <c r="V24" s="16" t="n"/>
      <c r="W24" s="16" t="n"/>
      <c r="X24" s="19" t="n">
        <v>0.1960648148148148</v>
      </c>
      <c r="Y24" s="17" t="n">
        <v>0.04732638888888889</v>
      </c>
      <c r="Z24" s="15" t="n"/>
      <c r="AA24" s="19" t="n">
        <v>0.04523148148148148</v>
      </c>
      <c r="AB24" s="19" t="n">
        <v>0.1533449074074074</v>
      </c>
      <c r="AC24" s="16" t="n"/>
      <c r="AD24" s="16" t="n"/>
      <c r="AE24" s="17" t="n">
        <v>0.0992824074074074</v>
      </c>
      <c r="AF24" s="17" t="n">
        <v>0.1459953703703704</v>
      </c>
      <c r="AG24" s="15" t="n"/>
      <c r="AH24" s="18">
        <f>SUM(D24:AG24)</f>
        <v/>
      </c>
      <c r="AI24" s="18" t="n">
        <v>2.426111111111111</v>
      </c>
      <c r="AJ24" s="18">
        <f>AI24-AH24</f>
        <v/>
      </c>
      <c r="AK24" s="14" t="n"/>
      <c r="AL24" s="18" t="n">
        <v>0.01586805555555556</v>
      </c>
      <c r="AM24" s="14" t="n"/>
    </row>
    <row r="25" ht="17.1" customHeight="1">
      <c r="A25" s="13" t="inlineStr">
        <is>
          <t>RANIERI FRANCESCO</t>
        </is>
      </c>
      <c r="B25" s="14" t="inlineStr">
        <is>
          <t>RNRFNC99L28H501B</t>
        </is>
      </c>
      <c r="C25" s="13" t="inlineStr">
        <is>
          <t>La programmazione - Tecninf - Fondoconoscenza</t>
        </is>
      </c>
      <c r="D25" s="19" t="n">
        <v>0.1467013888888889</v>
      </c>
      <c r="E25" s="17" t="n">
        <v>0.08660879629629629</v>
      </c>
      <c r="F25" s="17" t="n">
        <v>0.1261342592592593</v>
      </c>
      <c r="G25" s="19" t="n">
        <v>0.1666898148148148</v>
      </c>
      <c r="H25" s="16" t="n"/>
      <c r="I25" s="16" t="n"/>
      <c r="J25" s="19" t="n">
        <v>0.2102546296296296</v>
      </c>
      <c r="K25" s="19" t="n">
        <v>0.2560416666666667</v>
      </c>
      <c r="L25" s="15" t="n"/>
      <c r="M25" s="19" t="n">
        <v>0.2394907407407408</v>
      </c>
      <c r="N25" s="17" t="n">
        <v>0.1775578703703704</v>
      </c>
      <c r="O25" s="16" t="n"/>
      <c r="P25" s="16" t="n"/>
      <c r="Q25" s="19" t="n">
        <v>0.1183333333333333</v>
      </c>
      <c r="R25" s="19" t="n">
        <v>0.1357291666666667</v>
      </c>
      <c r="S25" s="17" t="n">
        <v>0.1304976851851852</v>
      </c>
      <c r="T25" s="15" t="n"/>
      <c r="U25" s="15" t="n"/>
      <c r="V25" s="16" t="n"/>
      <c r="W25" s="16" t="n"/>
      <c r="X25" s="19" t="n">
        <v>0.07230324074074074</v>
      </c>
      <c r="Y25" s="17" t="n">
        <v>0.1418981481481481</v>
      </c>
      <c r="Z25" s="19" t="n">
        <v>0.2054861111111111</v>
      </c>
      <c r="AA25" s="19" t="n">
        <v>0.1394097222222222</v>
      </c>
      <c r="AB25" s="17" t="n">
        <v>0.2141782407407407</v>
      </c>
      <c r="AC25" s="16" t="n"/>
      <c r="AD25" s="16" t="n"/>
      <c r="AE25" s="17" t="n">
        <v>0.1250810185185185</v>
      </c>
      <c r="AF25" s="17" t="n">
        <v>0.1345601851851852</v>
      </c>
      <c r="AG25" s="15" t="n"/>
      <c r="AH25" s="18">
        <f>SUM(D25:AG25)</f>
        <v/>
      </c>
      <c r="AI25" s="18" t="n">
        <v>2.965949074074074</v>
      </c>
      <c r="AJ25" s="18">
        <f>AI25-AH25</f>
        <v/>
      </c>
      <c r="AK25" s="14" t="n"/>
      <c r="AL25" s="18" t="n">
        <v>0.1389930555555556</v>
      </c>
      <c r="AM25" s="14" t="n"/>
    </row>
    <row r="26" ht="17.1" customHeight="1">
      <c r="A26" s="13" t="inlineStr">
        <is>
          <t>ROSA JEREMY DELA</t>
        </is>
      </c>
      <c r="B26" s="14" t="inlineStr">
        <is>
          <t>DLRJMY02A20H501A</t>
        </is>
      </c>
      <c r="C26" s="13" t="inlineStr">
        <is>
          <t>Big Data - Tecninf - Fondoconoscenza</t>
        </is>
      </c>
      <c r="D26" s="15" t="n"/>
      <c r="E26" s="15" t="n"/>
      <c r="F26" s="15" t="n"/>
      <c r="G26" s="15" t="n"/>
      <c r="H26" s="16" t="n"/>
      <c r="I26" s="16" t="n"/>
      <c r="J26" s="15" t="n"/>
      <c r="K26" s="15" t="n"/>
      <c r="L26" s="15" t="n"/>
      <c r="M26" s="15" t="n"/>
      <c r="N26" s="15" t="n"/>
      <c r="O26" s="16" t="n"/>
      <c r="P26" s="16" t="n"/>
      <c r="Q26" s="15" t="n"/>
      <c r="R26" s="15" t="n"/>
      <c r="S26" s="15" t="n"/>
      <c r="T26" s="15" t="n"/>
      <c r="U26" s="15" t="n"/>
      <c r="V26" s="16" t="n"/>
      <c r="W26" s="16" t="n"/>
      <c r="X26" s="15" t="n"/>
      <c r="Y26" s="15" t="n"/>
      <c r="Z26" s="15" t="n"/>
      <c r="AA26" s="15" t="n"/>
      <c r="AB26" s="17" t="n">
        <v>0.1195486111111111</v>
      </c>
      <c r="AC26" s="16" t="n"/>
      <c r="AD26" s="16" t="n"/>
      <c r="AE26" s="15" t="n"/>
      <c r="AF26" s="15" t="n"/>
      <c r="AG26" s="15" t="n"/>
      <c r="AH26" s="18">
        <f>SUM(D26:AG26)</f>
        <v/>
      </c>
      <c r="AI26" s="18" t="n">
        <v>0.1195486111111111</v>
      </c>
      <c r="AJ26" s="18">
        <f>AI26-AH26</f>
        <v/>
      </c>
      <c r="AK26" s="14" t="n"/>
      <c r="AL26" s="14" t="n"/>
      <c r="AM26" s="14" t="n"/>
    </row>
    <row r="27" ht="17.1" customHeight="1">
      <c r="A27" s="13" t="inlineStr">
        <is>
          <t>SALPIETRO GIANLUCA</t>
        </is>
      </c>
      <c r="B27" s="14" t="inlineStr">
        <is>
          <t>SLPGLC81B17G377J</t>
        </is>
      </c>
      <c r="C27" s="13" t="inlineStr">
        <is>
          <t>Big Data - Tecninf - Fondoconoscenza</t>
        </is>
      </c>
      <c r="D27" s="15" t="n"/>
      <c r="E27" s="15" t="n"/>
      <c r="F27" s="15" t="n"/>
      <c r="G27" s="15" t="n"/>
      <c r="H27" s="16" t="n"/>
      <c r="I27" s="16" t="n"/>
      <c r="J27" s="15" t="n"/>
      <c r="K27" s="15" t="n"/>
      <c r="L27" s="15" t="n"/>
      <c r="M27" s="15" t="n"/>
      <c r="N27" s="15" t="n"/>
      <c r="O27" s="16" t="n"/>
      <c r="P27" s="16" t="n"/>
      <c r="Q27" s="15" t="n"/>
      <c r="R27" s="15" t="n"/>
      <c r="S27" s="15" t="n"/>
      <c r="T27" s="15" t="n"/>
      <c r="U27" s="15" t="n"/>
      <c r="V27" s="16" t="n"/>
      <c r="W27" s="16" t="n"/>
      <c r="X27" s="15" t="n"/>
      <c r="Y27" s="15" t="n"/>
      <c r="Z27" s="15" t="n"/>
      <c r="AA27" s="15" t="n"/>
      <c r="AB27" s="15" t="n"/>
      <c r="AC27" s="16" t="n"/>
      <c r="AD27" s="16" t="n"/>
      <c r="AE27" s="15" t="n"/>
      <c r="AF27" s="15" t="n"/>
      <c r="AG27" s="15" t="n"/>
      <c r="AH27" s="18">
        <f>SUM(D27:AG27)</f>
        <v/>
      </c>
      <c r="AI27" s="14" t="n"/>
      <c r="AJ27" s="18">
        <f>AI27-AH27</f>
        <v/>
      </c>
      <c r="AK27" s="14" t="n"/>
      <c r="AL27" s="14" t="n"/>
      <c r="AM27" s="14" t="n"/>
    </row>
    <row r="28" ht="17.1" customHeight="1">
      <c r="A28" s="13" t="inlineStr">
        <is>
          <t>SALVATI CARMINE</t>
        </is>
      </c>
      <c r="B28" s="14" t="inlineStr">
        <is>
          <t>SLVCMN80D14D086Z</t>
        </is>
      </c>
      <c r="C28" s="13" t="inlineStr">
        <is>
          <t>Big Data - Tecninf - Fondoconoscenza</t>
        </is>
      </c>
      <c r="D28" s="17" t="n">
        <v>0.1702430555555556</v>
      </c>
      <c r="E28" s="17" t="n">
        <v>0.1361574074074074</v>
      </c>
      <c r="F28" s="17" t="n">
        <v>0.1272106481481481</v>
      </c>
      <c r="G28" s="19" t="n">
        <v>0.1440393518518518</v>
      </c>
      <c r="H28" s="16" t="n"/>
      <c r="I28" s="16" t="n"/>
      <c r="J28" s="17" t="n">
        <v>0.1187037037037037</v>
      </c>
      <c r="K28" s="17" t="n">
        <v>0.2253935185185185</v>
      </c>
      <c r="L28" s="17" t="n">
        <v>0.1313425925925926</v>
      </c>
      <c r="M28" s="17" t="n">
        <v>0.1042013888888889</v>
      </c>
      <c r="N28" s="19" t="n">
        <v>0.1323842592592593</v>
      </c>
      <c r="O28" s="16" t="n"/>
      <c r="P28" s="16" t="n"/>
      <c r="Q28" s="19" t="n">
        <v>0.1243518518518519</v>
      </c>
      <c r="R28" s="17" t="n">
        <v>0.141875</v>
      </c>
      <c r="S28" s="19" t="n">
        <v>0.102037037037037</v>
      </c>
      <c r="T28" s="17" t="n">
        <v>0.2147685185185185</v>
      </c>
      <c r="U28" s="17" t="n">
        <v>0.135787037037037</v>
      </c>
      <c r="V28" s="16" t="n"/>
      <c r="W28" s="16" t="n"/>
      <c r="X28" s="19" t="n">
        <v>0.2438425925925926</v>
      </c>
      <c r="Y28" s="17" t="n">
        <v>0.1495601851851852</v>
      </c>
      <c r="Z28" s="17" t="n">
        <v>0.2825925925925926</v>
      </c>
      <c r="AA28" s="17" t="n">
        <v>0.2369560185185185</v>
      </c>
      <c r="AB28" s="17" t="n">
        <v>0.1872106481481481</v>
      </c>
      <c r="AC28" s="16" t="n"/>
      <c r="AD28" s="16" t="n"/>
      <c r="AE28" s="15" t="n"/>
      <c r="AF28" s="15" t="n"/>
      <c r="AG28" s="15" t="n"/>
      <c r="AH28" s="18">
        <f>SUM(D28:AG28)</f>
        <v/>
      </c>
      <c r="AI28" s="18" t="n">
        <v>3.137569444444444</v>
      </c>
      <c r="AJ28" s="18">
        <f>AI28-AH28</f>
        <v/>
      </c>
      <c r="AK28" s="14" t="n"/>
      <c r="AL28" s="18" t="n">
        <v>0.02891203703703704</v>
      </c>
      <c r="AM28" s="14" t="n"/>
    </row>
    <row r="29" ht="17.1" customHeight="1">
      <c r="A29" s="13" t="inlineStr">
        <is>
          <t>SAMBRINI ALESSIA</t>
        </is>
      </c>
      <c r="B29" s="14" t="inlineStr">
        <is>
          <t>SMBLSS74D47H501E</t>
        </is>
      </c>
      <c r="C29" s="13" t="inlineStr">
        <is>
          <t>Big Data - Tecninf - Fondoconoscenza</t>
        </is>
      </c>
      <c r="D29" s="15" t="n"/>
      <c r="E29" s="15" t="n"/>
      <c r="F29" s="15" t="n"/>
      <c r="G29" s="15" t="n"/>
      <c r="H29" s="16" t="n"/>
      <c r="I29" s="16" t="n"/>
      <c r="J29" s="15" t="n"/>
      <c r="K29" s="15" t="n"/>
      <c r="L29" s="15" t="n"/>
      <c r="M29" s="15" t="n"/>
      <c r="N29" s="15" t="n"/>
      <c r="O29" s="16" t="n"/>
      <c r="P29" s="16" t="n"/>
      <c r="Q29" s="15" t="n"/>
      <c r="R29" s="15" t="n"/>
      <c r="S29" s="19" t="n">
        <v>0.2608680555555555</v>
      </c>
      <c r="T29" s="19" t="n">
        <v>0.2902314814814815</v>
      </c>
      <c r="U29" s="17" t="n">
        <v>0.1275925925925926</v>
      </c>
      <c r="V29" s="16" t="n"/>
      <c r="W29" s="16" t="n"/>
      <c r="X29" s="19" t="n">
        <v>0.184837962962963</v>
      </c>
      <c r="Y29" s="17" t="n">
        <v>0.06824074074074074</v>
      </c>
      <c r="Z29" s="15" t="n"/>
      <c r="AA29" s="17" t="n">
        <v>0.007719907407407407</v>
      </c>
      <c r="AB29" s="17" t="n">
        <v>0.105162037037037</v>
      </c>
      <c r="AC29" s="16" t="n"/>
      <c r="AD29" s="16" t="n"/>
      <c r="AE29" s="15" t="n"/>
      <c r="AF29" s="17" t="n">
        <v>0.002847222222222222</v>
      </c>
      <c r="AG29" s="15" t="n"/>
      <c r="AH29" s="18">
        <f>SUM(D29:AG29)</f>
        <v/>
      </c>
      <c r="AI29" s="18" t="n">
        <v>1.068761574074074</v>
      </c>
      <c r="AJ29" s="18">
        <f>AI29-AH29</f>
        <v/>
      </c>
      <c r="AK29" s="14" t="n"/>
      <c r="AL29" s="18" t="n">
        <v>0.02126157407407408</v>
      </c>
      <c r="AM29" s="14" t="n"/>
    </row>
    <row r="30" ht="17.1" customHeight="1">
      <c r="A30" s="13" t="inlineStr">
        <is>
          <t>SAVAIANO SILVIA</t>
        </is>
      </c>
      <c r="B30" s="14" t="inlineStr">
        <is>
          <t>SVNSLV89A46H501I</t>
        </is>
      </c>
      <c r="C30" s="13" t="inlineStr">
        <is>
          <t>La programmazione - Tecninf - Fondoconoscenza</t>
        </is>
      </c>
      <c r="D30" s="15" t="n"/>
      <c r="E30" s="15" t="n"/>
      <c r="F30" s="15" t="n"/>
      <c r="G30" s="15" t="n"/>
      <c r="H30" s="16" t="n"/>
      <c r="I30" s="16" t="n"/>
      <c r="J30" s="15" t="n"/>
      <c r="K30" s="19" t="n">
        <v>0.1076967592592593</v>
      </c>
      <c r="L30" s="17" t="n">
        <v>0.1157060185185185</v>
      </c>
      <c r="M30" s="17" t="n">
        <v>0.06721064814814814</v>
      </c>
      <c r="N30" s="15" t="n"/>
      <c r="O30" s="16" t="n"/>
      <c r="P30" s="16" t="n"/>
      <c r="Q30" s="17" t="n">
        <v>0.05252314814814815</v>
      </c>
      <c r="R30" s="17" t="n">
        <v>0.1198148148148148</v>
      </c>
      <c r="S30" s="15" t="n"/>
      <c r="T30" s="19" t="n">
        <v>0.08668981481481482</v>
      </c>
      <c r="U30" s="17" t="n">
        <v>0.09634259259259259</v>
      </c>
      <c r="V30" s="16" t="n"/>
      <c r="W30" s="24" t="n">
        <v>0</v>
      </c>
      <c r="X30" s="19" t="n">
        <v>0.08112268518518519</v>
      </c>
      <c r="Y30" s="17" t="n">
        <v>0.07356481481481482</v>
      </c>
      <c r="Z30" s="17" t="n">
        <v>0.05700231481481482</v>
      </c>
      <c r="AA30" s="19" t="n">
        <v>0.06315972222222223</v>
      </c>
      <c r="AB30" s="15" t="n"/>
      <c r="AC30" s="16" t="n"/>
      <c r="AD30" s="16" t="n"/>
      <c r="AE30" s="19" t="n">
        <v>0.07802083333333333</v>
      </c>
      <c r="AF30" s="19" t="n">
        <v>0.1351967592592593</v>
      </c>
      <c r="AG30" s="15" t="n"/>
      <c r="AH30" s="18">
        <f>SUM(D30:AG30)</f>
        <v/>
      </c>
      <c r="AI30" s="18" t="n">
        <v>1.274375</v>
      </c>
      <c r="AJ30" s="18">
        <f>AI30-AH30</f>
        <v/>
      </c>
      <c r="AK30" s="18" t="n">
        <v>0.04188657407407408</v>
      </c>
      <c r="AL30" s="18" t="n">
        <v>0.0984375</v>
      </c>
      <c r="AM30" s="14" t="n"/>
    </row>
    <row r="31" ht="17.1" customHeight="1">
      <c r="A31" s="13" t="inlineStr">
        <is>
          <t>SCALVEDI FILIPPO</t>
        </is>
      </c>
      <c r="B31" s="14" t="inlineStr">
        <is>
          <t>SCLFPP97S05H501K</t>
        </is>
      </c>
      <c r="C31" s="13" t="inlineStr">
        <is>
          <t>Big Data - Tecninf - Fondoconoscenza</t>
        </is>
      </c>
      <c r="D31" s="15" t="n"/>
      <c r="E31" s="15" t="n"/>
      <c r="F31" s="15" t="n"/>
      <c r="G31" s="15" t="n"/>
      <c r="H31" s="16" t="n"/>
      <c r="I31" s="16" t="n"/>
      <c r="J31" s="15" t="n"/>
      <c r="K31" s="15" t="n"/>
      <c r="L31" s="15" t="n"/>
      <c r="M31" s="15" t="n"/>
      <c r="N31" s="15" t="n"/>
      <c r="O31" s="16" t="n"/>
      <c r="P31" s="16" t="n"/>
      <c r="Q31" s="15" t="n"/>
      <c r="R31" s="15" t="n"/>
      <c r="S31" s="15" t="n"/>
      <c r="T31" s="15" t="n"/>
      <c r="U31" s="15" t="n"/>
      <c r="V31" s="16" t="n"/>
      <c r="W31" s="16" t="n"/>
      <c r="X31" s="15" t="n"/>
      <c r="Y31" s="15" t="n"/>
      <c r="Z31" s="15" t="n"/>
      <c r="AA31" s="15" t="n"/>
      <c r="AB31" s="15" t="n"/>
      <c r="AC31" s="16" t="n"/>
      <c r="AD31" s="16" t="n"/>
      <c r="AE31" s="15" t="n"/>
      <c r="AF31" s="15" t="n"/>
      <c r="AG31" s="15" t="n"/>
      <c r="AH31" s="18">
        <f>SUM(D31:AG31)</f>
        <v/>
      </c>
      <c r="AI31" s="14" t="n"/>
      <c r="AJ31" s="18">
        <f>AI31-AH31</f>
        <v/>
      </c>
      <c r="AK31" s="14" t="n"/>
      <c r="AL31" s="14" t="n"/>
      <c r="AM31" s="14" t="n"/>
    </row>
    <row r="32" ht="17.1" customHeight="1">
      <c r="A32" s="13" t="inlineStr">
        <is>
          <t>SCRIMIERI TIZIANO</t>
        </is>
      </c>
      <c r="B32" s="14" t="inlineStr">
        <is>
          <t>SCRTZN80A09H501I</t>
        </is>
      </c>
      <c r="C32" s="13" t="inlineStr">
        <is>
          <t>Big Data - Tecninf - Fondoconoscenza</t>
        </is>
      </c>
      <c r="D32" s="17" t="n">
        <v>0.1963888888888889</v>
      </c>
      <c r="E32" s="17" t="n">
        <v>0.09167824074074074</v>
      </c>
      <c r="F32" s="17" t="n">
        <v>0.003958333333333334</v>
      </c>
      <c r="G32" s="15" t="n"/>
      <c r="H32" s="16" t="n"/>
      <c r="I32" s="16" t="n"/>
      <c r="J32" s="17" t="n">
        <v>0.04746527777777778</v>
      </c>
      <c r="K32" s="17" t="n">
        <v>0.0225462962962963</v>
      </c>
      <c r="L32" s="17" t="n">
        <v>0.07103009259259259</v>
      </c>
      <c r="M32" s="15" t="n"/>
      <c r="N32" s="15" t="n"/>
      <c r="O32" s="16" t="n"/>
      <c r="P32" s="16" t="n"/>
      <c r="Q32" s="17" t="n">
        <v>0.1116203703703704</v>
      </c>
      <c r="R32" s="17" t="n">
        <v>0.05501157407407407</v>
      </c>
      <c r="S32" s="17" t="n">
        <v>0.02418981481481481</v>
      </c>
      <c r="T32" s="17" t="n">
        <v>0.02200231481481481</v>
      </c>
      <c r="U32" s="17" t="n">
        <v>0.09814814814814815</v>
      </c>
      <c r="V32" s="16" t="n"/>
      <c r="W32" s="16" t="n"/>
      <c r="X32" s="19" t="n">
        <v>0.1303009259259259</v>
      </c>
      <c r="Y32" s="17" t="n">
        <v>0.1246527777777778</v>
      </c>
      <c r="Z32" s="17" t="n">
        <v>0.1553356481481482</v>
      </c>
      <c r="AA32" s="17" t="n">
        <v>0.04518518518518518</v>
      </c>
      <c r="AB32" s="15" t="n"/>
      <c r="AC32" s="16" t="n"/>
      <c r="AD32" s="16" t="n"/>
      <c r="AE32" s="19" t="n">
        <v>0.1781597222222222</v>
      </c>
      <c r="AF32" s="17" t="n">
        <v>0.07813657407407408</v>
      </c>
      <c r="AG32" s="15" t="n"/>
      <c r="AH32" s="18">
        <f>SUM(D32:AG32)</f>
        <v/>
      </c>
      <c r="AI32" s="18" t="n">
        <v>1.473900462962963</v>
      </c>
      <c r="AJ32" s="18">
        <f>AI32-AH32</f>
        <v/>
      </c>
      <c r="AK32" s="14" t="n"/>
      <c r="AL32" s="18" t="n">
        <v>0.01809027777777778</v>
      </c>
      <c r="AM32" s="14" t="n"/>
    </row>
    <row r="33" ht="17.1" customHeight="1">
      <c r="A33" s="13" t="inlineStr">
        <is>
          <t>STASIUC DENIS</t>
        </is>
      </c>
      <c r="B33" s="14" t="inlineStr">
        <is>
          <t>STSDNS91B05Z140T</t>
        </is>
      </c>
      <c r="C33" s="13" t="inlineStr">
        <is>
          <t>Big Data - Tecninf - Fondoconoscenza</t>
        </is>
      </c>
      <c r="D33" s="17" t="n">
        <v>0.1427199074074074</v>
      </c>
      <c r="E33" s="17" t="n">
        <v>0.05625</v>
      </c>
      <c r="F33" s="15" t="n"/>
      <c r="G33" s="15" t="n"/>
      <c r="H33" s="16" t="n"/>
      <c r="I33" s="16" t="n"/>
      <c r="J33" s="15" t="n"/>
      <c r="K33" s="15" t="n"/>
      <c r="L33" s="15" t="n"/>
      <c r="M33" s="15" t="n"/>
      <c r="N33" s="15" t="n"/>
      <c r="O33" s="16" t="n"/>
      <c r="P33" s="16" t="n"/>
      <c r="Q33" s="15" t="n"/>
      <c r="R33" s="15" t="n"/>
      <c r="S33" s="15" t="n"/>
      <c r="T33" s="15" t="n"/>
      <c r="U33" s="15" t="n"/>
      <c r="V33" s="16" t="n"/>
      <c r="W33" s="16" t="n"/>
      <c r="X33" s="15" t="n"/>
      <c r="Y33" s="15" t="n"/>
      <c r="Z33" s="15" t="n"/>
      <c r="AA33" s="15" t="n"/>
      <c r="AB33" s="15" t="n"/>
      <c r="AC33" s="16" t="n"/>
      <c r="AD33" s="16" t="n"/>
      <c r="AE33" s="15" t="n"/>
      <c r="AF33" s="15" t="n"/>
      <c r="AG33" s="15" t="n"/>
      <c r="AH33" s="18">
        <f>SUM(D33:AG33)</f>
        <v/>
      </c>
      <c r="AI33" s="18" t="n">
        <v>0.1989699074074074</v>
      </c>
      <c r="AJ33" s="18">
        <f>AI33-AH33</f>
        <v/>
      </c>
      <c r="AK33" s="14" t="n"/>
      <c r="AL33" s="14" t="n"/>
      <c r="AM33" s="14" t="n"/>
    </row>
    <row r="34" ht="17.1" customHeight="1">
      <c r="A34" s="13" t="inlineStr">
        <is>
          <t>TARISCIOTTI ANDREA</t>
        </is>
      </c>
      <c r="B34" s="14" t="inlineStr">
        <is>
          <t>TRSNDR97M24H501B</t>
        </is>
      </c>
      <c r="C34" s="13" t="inlineStr">
        <is>
          <t>La programmazione - Tecninf - Fondoconoscenza</t>
        </is>
      </c>
      <c r="D34" s="15" t="n"/>
      <c r="E34" s="15" t="n"/>
      <c r="F34" s="15" t="n"/>
      <c r="G34" s="15" t="n"/>
      <c r="H34" s="16" t="n"/>
      <c r="I34" s="16" t="n"/>
      <c r="J34" s="15" t="n"/>
      <c r="K34" s="15" t="n"/>
      <c r="L34" s="15" t="n"/>
      <c r="M34" s="15" t="n"/>
      <c r="N34" s="15" t="n"/>
      <c r="O34" s="16" t="n"/>
      <c r="P34" s="16" t="n"/>
      <c r="Q34" s="15" t="n"/>
      <c r="R34" s="15" t="n"/>
      <c r="S34" s="15" t="n"/>
      <c r="T34" s="15" t="n"/>
      <c r="U34" s="15" t="n"/>
      <c r="V34" s="16" t="n"/>
      <c r="W34" s="16" t="n"/>
      <c r="X34" s="15" t="n"/>
      <c r="Y34" s="15" t="n"/>
      <c r="Z34" s="15" t="n"/>
      <c r="AA34" s="15" t="n"/>
      <c r="AB34" s="15" t="n"/>
      <c r="AC34" s="16" t="n"/>
      <c r="AD34" s="16" t="n"/>
      <c r="AE34" s="15" t="n"/>
      <c r="AF34" s="15" t="n"/>
      <c r="AG34" s="15" t="n"/>
      <c r="AH34" s="18">
        <f>SUM(D34:AG34)</f>
        <v/>
      </c>
      <c r="AI34" s="14" t="n"/>
      <c r="AJ34" s="18">
        <f>AI34-AH34</f>
        <v/>
      </c>
      <c r="AK34" s="14" t="n"/>
      <c r="AL34" s="14" t="n"/>
      <c r="AM34" s="14" t="n"/>
    </row>
    <row r="35" ht="17.1" customHeight="1">
      <c r="A35" s="13" t="inlineStr">
        <is>
          <t>TOCI ANTONETA</t>
        </is>
      </c>
      <c r="B35" s="14" t="inlineStr">
        <is>
          <t>TCONNT91H59Z100O</t>
        </is>
      </c>
      <c r="C35" s="13" t="inlineStr">
        <is>
          <t>La programmazione - Tecninf - Fondoconoscenza</t>
        </is>
      </c>
      <c r="D35" s="15" t="n"/>
      <c r="E35" s="15" t="n"/>
      <c r="F35" s="15" t="n"/>
      <c r="G35" s="15" t="n"/>
      <c r="H35" s="16" t="n"/>
      <c r="I35" s="16" t="n"/>
      <c r="J35" s="15" t="n"/>
      <c r="K35" s="15" t="n"/>
      <c r="L35" s="15" t="n"/>
      <c r="M35" s="15" t="n"/>
      <c r="N35" s="15" t="n"/>
      <c r="O35" s="16" t="n"/>
      <c r="P35" s="16" t="n"/>
      <c r="Q35" s="15" t="n"/>
      <c r="R35" s="15" t="n"/>
      <c r="S35" s="15" t="n"/>
      <c r="T35" s="15" t="n"/>
      <c r="U35" s="15" t="n"/>
      <c r="V35" s="16" t="n"/>
      <c r="W35" s="16" t="n"/>
      <c r="X35" s="15" t="n"/>
      <c r="Y35" s="15" t="n"/>
      <c r="Z35" s="15" t="n"/>
      <c r="AA35" s="15" t="n"/>
      <c r="AB35" s="15" t="n"/>
      <c r="AC35" s="16" t="n"/>
      <c r="AD35" s="16" t="n"/>
      <c r="AE35" s="15" t="n"/>
      <c r="AF35" s="15" t="n"/>
      <c r="AG35" s="15" t="n"/>
      <c r="AH35" s="18">
        <f>SUM(D35:AG35)</f>
        <v/>
      </c>
      <c r="AI35" s="14" t="n"/>
      <c r="AJ35" s="18">
        <f>AI35-AH35</f>
        <v/>
      </c>
      <c r="AK35" s="14" t="n"/>
      <c r="AL35" s="14" t="n"/>
      <c r="AM35" s="14" t="n"/>
    </row>
    <row r="36" ht="17.1" customHeight="1">
      <c r="A36" s="13" t="inlineStr">
        <is>
          <t>VISWANATHAN SRIDHAR</t>
        </is>
      </c>
      <c r="B36" s="14" t="inlineStr">
        <is>
          <t>VSWSDH86S22Z222H</t>
        </is>
      </c>
      <c r="C36" s="13" t="inlineStr">
        <is>
          <t>Project Management per il digitale - Tecninf - Fondoconoscenza</t>
        </is>
      </c>
      <c r="D36" s="17" t="n">
        <v>0.2676388888888889</v>
      </c>
      <c r="E36" s="17" t="n">
        <v>0.2453472222222222</v>
      </c>
      <c r="F36" s="17" t="n">
        <v>0.2651967592592593</v>
      </c>
      <c r="G36" s="17" t="n">
        <v>0.2461805555555556</v>
      </c>
      <c r="H36" s="16" t="n"/>
      <c r="I36" s="16" t="n"/>
      <c r="J36" s="15" t="n"/>
      <c r="K36" s="15" t="n"/>
      <c r="L36" s="17" t="n">
        <v>0.01336805555555555</v>
      </c>
      <c r="M36" s="15" t="n"/>
      <c r="N36" s="15" t="n"/>
      <c r="O36" s="16" t="n"/>
      <c r="P36" s="16" t="n"/>
      <c r="Q36" s="15" t="n"/>
      <c r="R36" s="15" t="n"/>
      <c r="S36" s="17" t="n">
        <v>0.01612268518518518</v>
      </c>
      <c r="T36" s="15" t="n"/>
      <c r="U36" s="15" t="n"/>
      <c r="V36" s="16" t="n"/>
      <c r="W36" s="16" t="n"/>
      <c r="X36" s="15" t="n"/>
      <c r="Y36" s="15" t="n"/>
      <c r="Z36" s="15" t="n"/>
      <c r="AA36" s="15" t="n"/>
      <c r="AB36" s="15" t="n"/>
      <c r="AC36" s="16" t="n"/>
      <c r="AD36" s="16" t="n"/>
      <c r="AE36" s="15" t="n"/>
      <c r="AF36" s="15" t="n"/>
      <c r="AG36" s="15" t="n"/>
      <c r="AH36" s="18">
        <f>SUM(D36:AG36)</f>
        <v/>
      </c>
      <c r="AI36" s="18" t="n">
        <v>1.053854166666667</v>
      </c>
      <c r="AJ36" s="18">
        <f>AI36-AH36</f>
        <v/>
      </c>
      <c r="AK36" s="14" t="n"/>
      <c r="AL36" s="14" t="n"/>
      <c r="AM36" s="14" t="n"/>
    </row>
    <row r="37" ht="17.1" customHeight="1">
      <c r="A37" s="20" t="inlineStr">
        <is>
          <t>TOTALE</t>
        </is>
      </c>
      <c r="B37" s="21" t="n"/>
      <c r="C37" s="21" t="n"/>
      <c r="D37" s="22">
        <f>SUM(D4:D36)</f>
        <v/>
      </c>
      <c r="E37" s="22">
        <f>SUM(E4:E36)</f>
        <v/>
      </c>
      <c r="F37" s="22">
        <f>SUM(F4:F36)</f>
        <v/>
      </c>
      <c r="G37" s="22">
        <f>SUM(G4:G36)</f>
        <v/>
      </c>
      <c r="H37" s="22">
        <f>SUM(H4:H36)</f>
        <v/>
      </c>
      <c r="I37" s="22">
        <f>SUM(I4:I36)</f>
        <v/>
      </c>
      <c r="J37" s="22">
        <f>SUM(J4:J36)</f>
        <v/>
      </c>
      <c r="K37" s="22">
        <f>SUM(K4:K36)</f>
        <v/>
      </c>
      <c r="L37" s="22">
        <f>SUM(L4:L36)</f>
        <v/>
      </c>
      <c r="M37" s="22">
        <f>SUM(M4:M36)</f>
        <v/>
      </c>
      <c r="N37" s="22">
        <f>SUM(N4:N36)</f>
        <v/>
      </c>
      <c r="O37" s="22">
        <f>SUM(O4:O36)</f>
        <v/>
      </c>
      <c r="P37" s="22">
        <f>SUM(P4:P36)</f>
        <v/>
      </c>
      <c r="Q37" s="22">
        <f>SUM(Q4:Q36)</f>
        <v/>
      </c>
      <c r="R37" s="22">
        <f>SUM(R4:R36)</f>
        <v/>
      </c>
      <c r="S37" s="22">
        <f>SUM(S4:S36)</f>
        <v/>
      </c>
      <c r="T37" s="22">
        <f>SUM(T4:T36)</f>
        <v/>
      </c>
      <c r="U37" s="22">
        <f>SUM(U4:U36)</f>
        <v/>
      </c>
      <c r="V37" s="22">
        <f>SUM(V4:V36)</f>
        <v/>
      </c>
      <c r="W37" s="22">
        <f>SUM(W4:W36)</f>
        <v/>
      </c>
      <c r="X37" s="22">
        <f>SUM(X4:X36)</f>
        <v/>
      </c>
      <c r="Y37" s="22">
        <f>SUM(Y4:Y36)</f>
        <v/>
      </c>
      <c r="Z37" s="22">
        <f>SUM(Z4:Z36)</f>
        <v/>
      </c>
      <c r="AA37" s="22">
        <f>SUM(AA4:AA36)</f>
        <v/>
      </c>
      <c r="AB37" s="22">
        <f>SUM(AB4:AB36)</f>
        <v/>
      </c>
      <c r="AC37" s="22">
        <f>SUM(AC4:AC36)</f>
        <v/>
      </c>
      <c r="AD37" s="22">
        <f>SUM(AD4:AD36)</f>
        <v/>
      </c>
      <c r="AE37" s="22">
        <f>SUM(AE4:AE36)</f>
        <v/>
      </c>
      <c r="AF37" s="22">
        <f>SUM(AF4:AF36)</f>
        <v/>
      </c>
      <c r="AG37" s="22">
        <f>SUM(AG4:AG36)</f>
        <v/>
      </c>
      <c r="AH37" s="22">
        <f>SUM(AH4:AH36)</f>
        <v/>
      </c>
      <c r="AI37" s="22">
        <f>SUM(AI4:AI36)</f>
        <v/>
      </c>
      <c r="AJ37" s="22">
        <f>SUM(AJ4:AJ36)</f>
        <v/>
      </c>
      <c r="AK37" s="22">
        <f>SUM(AK4:AK36)</f>
        <v/>
      </c>
      <c r="AL37" s="22">
        <f>SUM(AL4:AL36)</f>
        <v/>
      </c>
      <c r="AM37" s="22">
        <f>SUM(AM4:AM36)</f>
        <v/>
      </c>
    </row>
  </sheetData>
  <mergeCells count="1">
    <mergeCell ref="A1:AM1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7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26.1" customHeight="1">
      <c r="A1" s="1" t="inlineStr">
        <is>
          <t>DETTAGLIO BIG DATA - % veritiera per singolo corso (ore effettive cappate al 100% della durata attesa)</t>
        </is>
      </c>
    </row>
    <row r="2" ht="17.1" customHeight="1">
      <c r="A2" s="26" t="inlineStr">
        <is>
          <t>Durata attesa (h)</t>
        </is>
      </c>
      <c r="D2" s="26" t="n">
        <v>20</v>
      </c>
      <c r="E2" s="26" t="n">
        <v>5</v>
      </c>
      <c r="F2" s="26" t="n">
        <v>18</v>
      </c>
      <c r="G2" s="26" t="n">
        <v>17</v>
      </c>
      <c r="H2" s="26" t="n">
        <v>5</v>
      </c>
      <c r="I2" s="26" t="n">
        <v>11</v>
      </c>
      <c r="J2" s="26" t="n">
        <v>14</v>
      </c>
      <c r="K2" s="26" t="n">
        <v>12</v>
      </c>
      <c r="L2" s="26" t="n">
        <v>11</v>
      </c>
      <c r="M2" s="26" t="n">
        <v>13</v>
      </c>
      <c r="N2" s="26" t="n">
        <v>12</v>
      </c>
      <c r="O2" s="26" t="n">
        <v>3</v>
      </c>
      <c r="P2" s="26" t="n">
        <v>6</v>
      </c>
      <c r="Q2" s="26" t="n">
        <v>3</v>
      </c>
    </row>
    <row r="3" ht="56.1" customHeight="1">
      <c r="A3" s="2" t="inlineStr">
        <is>
          <t>Discente</t>
        </is>
      </c>
      <c r="B3" s="2" t="inlineStr">
        <is>
          <t>Codice Fiscale</t>
        </is>
      </c>
      <c r="C3" s="2" t="inlineStr">
        <is>
          <t>Percorso Formativo</t>
        </is>
      </c>
      <c r="D3" s="2" t="inlineStr">
        <is>
          <t>GDPR e nuove normative Europee</t>
        </is>
      </c>
      <c r="E3" s="2" t="inlineStr">
        <is>
          <t>Introduzione ai Big Data nelle aziende</t>
        </is>
      </c>
      <c r="F3" s="2" t="inlineStr">
        <is>
          <t>Big data e analisi predittiva</t>
        </is>
      </c>
      <c r="G3" s="2" t="inlineStr">
        <is>
          <t>I Big data in ambito finanziario</t>
        </is>
      </c>
      <c r="H3" s="2" t="inlineStr">
        <is>
          <t>Business Intelligence e analisi predittiva</t>
        </is>
      </c>
      <c r="I3" s="2" t="inlineStr">
        <is>
          <t>Database relazionali e linguaggio SQL con PHP</t>
        </is>
      </c>
      <c r="J3" s="2" t="inlineStr">
        <is>
          <t>Natural Language Processing con Python</t>
        </is>
      </c>
      <c r="K3" s="2" t="inlineStr">
        <is>
          <t>Il Machine Learning con Python</t>
        </is>
      </c>
      <c r="L3" s="2" t="inlineStr">
        <is>
          <t>Python per Machine Learning e Artificial Intelligence</t>
        </is>
      </c>
      <c r="M3" s="2" t="inlineStr">
        <is>
          <t>Deep Learning e reti neurali</t>
        </is>
      </c>
      <c r="N3" s="2" t="inlineStr">
        <is>
          <t>Big Data Analytics con Python e Spark</t>
        </is>
      </c>
      <c r="O3" s="2" t="inlineStr">
        <is>
          <t>Progettare autorizzazioni e autentificazioni</t>
        </is>
      </c>
      <c r="P3" s="2" t="inlineStr">
        <is>
          <t>Gestione avanzata di un Database</t>
        </is>
      </c>
      <c r="Q3" s="2" t="inlineStr">
        <is>
          <t>Sicurezza e Password Management</t>
        </is>
      </c>
    </row>
    <row r="4" ht="17.1" customHeight="1">
      <c r="A4" s="13" t="inlineStr">
        <is>
          <t>BADII ALESSANDRO</t>
        </is>
      </c>
      <c r="B4" s="14" t="inlineStr">
        <is>
          <t>BDALSN01R03H501Z</t>
        </is>
      </c>
      <c r="C4" s="13" t="inlineStr">
        <is>
          <t>Big Data - Tecninf - Fondoconoscenza</t>
        </is>
      </c>
      <c r="D4" s="27">
        <f>MIN(20.7386,20)/20</f>
        <v/>
      </c>
      <c r="E4" s="27">
        <f>MIN(14.9525,5)/5</f>
        <v/>
      </c>
      <c r="F4" s="27">
        <f>MIN(19.53,18)/18</f>
        <v/>
      </c>
      <c r="G4" s="27">
        <f>MIN(14.0014,17)/17</f>
        <v/>
      </c>
      <c r="H4" s="27">
        <f>MIN(12.3792,5)/5</f>
        <v/>
      </c>
      <c r="I4" s="27">
        <f>MIN(0.0,11)/11</f>
        <v/>
      </c>
      <c r="J4" s="27">
        <f>MIN(0.0,14)/14</f>
        <v/>
      </c>
      <c r="K4" s="27">
        <f>MIN(14.3078,12)/12</f>
        <v/>
      </c>
      <c r="L4" s="27">
        <f>MIN(0.0,11)/11</f>
        <v/>
      </c>
      <c r="M4" s="27">
        <f>MIN(8.7369,13)/13</f>
        <v/>
      </c>
      <c r="N4" s="27">
        <f>MIN(24.5011,12)/12</f>
        <v/>
      </c>
      <c r="O4" s="27">
        <f>MIN(0.0,3)/3</f>
        <v/>
      </c>
      <c r="P4" s="27">
        <f>MIN(0.0,6)/6</f>
        <v/>
      </c>
      <c r="Q4" s="27">
        <f>MIN(2.2803,3)/3</f>
        <v/>
      </c>
    </row>
    <row r="5" ht="17.1" customHeight="1">
      <c r="A5" s="13" t="inlineStr">
        <is>
          <t>BUTTINELLI GIORGIA</t>
        </is>
      </c>
      <c r="B5" s="14" t="inlineStr">
        <is>
          <t>BTTGRG97S59G274Q</t>
        </is>
      </c>
      <c r="C5" s="13" t="inlineStr">
        <is>
          <t>Big Data - Tecninf - Fondoconoscenza</t>
        </is>
      </c>
      <c r="D5" s="27">
        <f>MIN(7.1011,20)/20</f>
        <v/>
      </c>
      <c r="E5" s="27">
        <f>MIN(3.92,5)/5</f>
        <v/>
      </c>
      <c r="F5" s="27">
        <f>MIN(14.6164,18)/18</f>
        <v/>
      </c>
      <c r="G5" s="27">
        <f>MIN(8.1053,17)/17</f>
        <v/>
      </c>
      <c r="H5" s="27">
        <f>MIN(9.8769,5)/5</f>
        <v/>
      </c>
      <c r="I5" s="27">
        <f>MIN(9.4906,11)/11</f>
        <v/>
      </c>
      <c r="J5" s="27">
        <f>MIN(13.3747,14)/14</f>
        <v/>
      </c>
      <c r="K5" s="27">
        <f>MIN(12.4703,12)/12</f>
        <v/>
      </c>
      <c r="L5" s="27">
        <f>MIN(27.8853,11)/11</f>
        <v/>
      </c>
      <c r="M5" s="27">
        <f>MIN(15.5747,13)/13</f>
        <v/>
      </c>
      <c r="N5" s="27">
        <f>MIN(19.4769,12)/12</f>
        <v/>
      </c>
      <c r="O5" s="27">
        <f>MIN(2.3303,3)/3</f>
        <v/>
      </c>
      <c r="P5" s="27">
        <f>MIN(2.8253,6)/6</f>
        <v/>
      </c>
      <c r="Q5" s="27">
        <f>MIN(3.5258,3)/3</f>
        <v/>
      </c>
    </row>
    <row r="6" ht="17.1" customHeight="1">
      <c r="A6" s="13" t="inlineStr">
        <is>
          <t>LIMETTI ION</t>
        </is>
      </c>
      <c r="B6" s="14" t="inlineStr">
        <is>
          <t>LMTNIO94M03Z129S</t>
        </is>
      </c>
      <c r="C6" s="13" t="inlineStr">
        <is>
          <t>Big Data - Tecninf - Fondoconoscenza</t>
        </is>
      </c>
      <c r="D6" s="27">
        <f>MIN(18.6019,20)/20</f>
        <v/>
      </c>
      <c r="E6" s="27">
        <f>MIN(19.0725,5)/5</f>
        <v/>
      </c>
      <c r="F6" s="27">
        <f>MIN(10.6992,18)/18</f>
        <v/>
      </c>
      <c r="G6" s="27">
        <f>MIN(6.8514,17)/17</f>
        <v/>
      </c>
      <c r="H6" s="27">
        <f>MIN(20.6367,5)/5</f>
        <v/>
      </c>
      <c r="I6" s="27">
        <f>MIN(14.6164,11)/11</f>
        <v/>
      </c>
      <c r="J6" s="27">
        <f>MIN(10.8111,14)/14</f>
        <v/>
      </c>
      <c r="K6" s="27">
        <f>MIN(18.1808,12)/12</f>
        <v/>
      </c>
      <c r="L6" s="27">
        <f>MIN(24.3361,11)/11</f>
        <v/>
      </c>
      <c r="M6" s="27">
        <f>MIN(25.38,13)/13</f>
        <v/>
      </c>
      <c r="N6" s="27">
        <f>MIN(10.7911,12)/12</f>
        <v/>
      </c>
      <c r="O6" s="27">
        <f>MIN(4.8953,3)/3</f>
        <v/>
      </c>
      <c r="P6" s="27">
        <f>MIN(6.1,6)/6</f>
        <v/>
      </c>
      <c r="Q6" s="27">
        <f>MIN(4.8325,3)/3</f>
        <v/>
      </c>
    </row>
    <row r="7" ht="17.1" customHeight="1">
      <c r="A7" s="13" t="inlineStr">
        <is>
          <t>LUCA' VERONICA</t>
        </is>
      </c>
      <c r="B7" s="14" t="inlineStr">
        <is>
          <t>LCUVNC85L52D976T</t>
        </is>
      </c>
      <c r="C7" s="13" t="inlineStr">
        <is>
          <t>Big Data - Tecninf - Fondoconoscenza</t>
        </is>
      </c>
      <c r="D7" s="27">
        <f>MIN(0.0,20)/20</f>
        <v/>
      </c>
      <c r="E7" s="27">
        <f>MIN(0.0,5)/5</f>
        <v/>
      </c>
      <c r="F7" s="27">
        <f>MIN(0.1058,18)/18</f>
        <v/>
      </c>
      <c r="G7" s="27">
        <f>MIN(0.0,17)/17</f>
        <v/>
      </c>
      <c r="H7" s="27">
        <f>MIN(0.0,5)/5</f>
        <v/>
      </c>
      <c r="I7" s="27">
        <f>MIN(0.0,11)/11</f>
        <v/>
      </c>
      <c r="J7" s="27">
        <f>MIN(0.0,14)/14</f>
        <v/>
      </c>
      <c r="K7" s="27">
        <f>MIN(0.0,12)/12</f>
        <v/>
      </c>
      <c r="L7" s="27">
        <f>MIN(36.6886,11)/11</f>
        <v/>
      </c>
      <c r="M7" s="27">
        <f>MIN(28.0519,13)/13</f>
        <v/>
      </c>
      <c r="N7" s="27">
        <f>MIN(0.0,12)/12</f>
        <v/>
      </c>
      <c r="O7" s="27">
        <f>MIN(0.0,3)/3</f>
        <v/>
      </c>
      <c r="P7" s="27">
        <f>MIN(0.0,6)/6</f>
        <v/>
      </c>
      <c r="Q7" s="27">
        <f>MIN(0.0,3)/3</f>
        <v/>
      </c>
    </row>
    <row r="8" ht="17.1" customHeight="1">
      <c r="A8" s="13" t="inlineStr">
        <is>
          <t>MARIANI ALESSIA</t>
        </is>
      </c>
      <c r="B8" s="14" t="inlineStr">
        <is>
          <t>MRNLSS75L68H501L</t>
        </is>
      </c>
      <c r="C8" s="13" t="inlineStr">
        <is>
          <t>Big Data - Tecninf - Fondoconoscenza</t>
        </is>
      </c>
      <c r="D8" s="27">
        <f>MIN(15.5525,20)/20</f>
        <v/>
      </c>
      <c r="E8" s="27">
        <f>MIN(16.1125,5)/5</f>
        <v/>
      </c>
      <c r="F8" s="27">
        <f>MIN(15.9153,18)/18</f>
        <v/>
      </c>
      <c r="G8" s="27">
        <f>MIN(18.9567,17)/17</f>
        <v/>
      </c>
      <c r="H8" s="27">
        <f>MIN(4.9186,5)/5</f>
        <v/>
      </c>
      <c r="I8" s="27">
        <f>MIN(10.1806,11)/11</f>
        <v/>
      </c>
      <c r="J8" s="27">
        <f>MIN(19.6089,14)/14</f>
        <v/>
      </c>
      <c r="K8" s="27">
        <f>MIN(10.1986,12)/12</f>
        <v/>
      </c>
      <c r="L8" s="27">
        <f>MIN(49.0872,11)/11</f>
        <v/>
      </c>
      <c r="M8" s="27">
        <f>MIN(27.8425,13)/13</f>
        <v/>
      </c>
      <c r="N8" s="27">
        <f>MIN(8.0817,12)/12</f>
        <v/>
      </c>
      <c r="O8" s="27">
        <f>MIN(5.7842,3)/3</f>
        <v/>
      </c>
      <c r="P8" s="27">
        <f>MIN(6.4867,6)/6</f>
        <v/>
      </c>
      <c r="Q8" s="27">
        <f>MIN(3.5358,3)/3</f>
        <v/>
      </c>
    </row>
    <row r="9" ht="17.1" customHeight="1">
      <c r="A9" s="13" t="inlineStr">
        <is>
          <t>MASCELLINO GIULIO</t>
        </is>
      </c>
      <c r="B9" s="14" t="inlineStr">
        <is>
          <t>MSCGLI83C04G511L</t>
        </is>
      </c>
      <c r="C9" s="13" t="inlineStr">
        <is>
          <t>Big Data - Tecninf - Fondoconoscenza</t>
        </is>
      </c>
      <c r="D9" s="27">
        <f>MIN(0.0,20)/20</f>
        <v/>
      </c>
      <c r="E9" s="27">
        <f>MIN(0.0,5)/5</f>
        <v/>
      </c>
      <c r="F9" s="27">
        <f>MIN(8.8092,18)/18</f>
        <v/>
      </c>
      <c r="G9" s="27">
        <f>MIN(0.0,17)/17</f>
        <v/>
      </c>
      <c r="H9" s="27">
        <f>MIN(0.0,5)/5</f>
        <v/>
      </c>
      <c r="I9" s="27">
        <f>MIN(0.0,11)/11</f>
        <v/>
      </c>
      <c r="J9" s="27">
        <f>MIN(0.0,14)/14</f>
        <v/>
      </c>
      <c r="K9" s="27">
        <f>MIN(0.0,12)/12</f>
        <v/>
      </c>
      <c r="L9" s="27">
        <f>MIN(0.0,11)/11</f>
        <v/>
      </c>
      <c r="M9" s="27">
        <f>MIN(0.0,13)/13</f>
        <v/>
      </c>
      <c r="N9" s="27">
        <f>MIN(15.6542,12)/12</f>
        <v/>
      </c>
      <c r="O9" s="27">
        <f>MIN(0.0,3)/3</f>
        <v/>
      </c>
      <c r="P9" s="27">
        <f>MIN(0.0,6)/6</f>
        <v/>
      </c>
      <c r="Q9" s="27">
        <f>MIN(6.0194,3)/3</f>
        <v/>
      </c>
    </row>
    <row r="10" ht="17.1" customHeight="1">
      <c r="A10" s="13" t="inlineStr">
        <is>
          <t>PERILLA GIAN LEO GAMES</t>
        </is>
      </c>
      <c r="B10" s="14" t="inlineStr">
        <is>
          <t>PRLGLG98M18H501X</t>
        </is>
      </c>
      <c r="C10" s="13" t="inlineStr">
        <is>
          <t>Big Data - Tecninf - Fondoconoscenza</t>
        </is>
      </c>
      <c r="D10" s="27">
        <f>MIN(20.1842,20)/20</f>
        <v/>
      </c>
      <c r="E10" s="27">
        <f>MIN(0.0,5)/5</f>
        <v/>
      </c>
      <c r="F10" s="27">
        <f>MIN(0.0,18)/18</f>
        <v/>
      </c>
      <c r="G10" s="27">
        <f>MIN(0.0,17)/17</f>
        <v/>
      </c>
      <c r="H10" s="27">
        <f>MIN(0.0,5)/5</f>
        <v/>
      </c>
      <c r="I10" s="27">
        <f>MIN(0.0,11)/11</f>
        <v/>
      </c>
      <c r="J10" s="27">
        <f>MIN(0.0,14)/14</f>
        <v/>
      </c>
      <c r="K10" s="27">
        <f>MIN(0.0,12)/12</f>
        <v/>
      </c>
      <c r="L10" s="27">
        <f>MIN(0.0,11)/11</f>
        <v/>
      </c>
      <c r="M10" s="27">
        <f>MIN(0.0,13)/13</f>
        <v/>
      </c>
      <c r="N10" s="27">
        <f>MIN(0.0,12)/12</f>
        <v/>
      </c>
      <c r="O10" s="27">
        <f>MIN(0.0,3)/3</f>
        <v/>
      </c>
      <c r="P10" s="27">
        <f>MIN(0.0,6)/6</f>
        <v/>
      </c>
      <c r="Q10" s="27">
        <f>MIN(1.4344,3)/3</f>
        <v/>
      </c>
    </row>
    <row r="11" ht="17.1" customHeight="1">
      <c r="A11" s="13" t="inlineStr">
        <is>
          <t>POGGI ROBERTO</t>
        </is>
      </c>
      <c r="B11" s="14" t="inlineStr">
        <is>
          <t>PGGRRT91H07F839Q</t>
        </is>
      </c>
      <c r="C11" s="13" t="inlineStr">
        <is>
          <t>Big Data - Tecninf - Fondoconoscenza</t>
        </is>
      </c>
      <c r="D11" s="27">
        <f>MIN(14.2458,20)/20</f>
        <v/>
      </c>
      <c r="E11" s="27">
        <f>MIN(0.0,5)/5</f>
        <v/>
      </c>
      <c r="F11" s="27">
        <f>MIN(0.0,18)/18</f>
        <v/>
      </c>
      <c r="G11" s="27">
        <f>MIN(0.0,17)/17</f>
        <v/>
      </c>
      <c r="H11" s="27">
        <f>MIN(0.0,5)/5</f>
        <v/>
      </c>
      <c r="I11" s="27">
        <f>MIN(0.0,11)/11</f>
        <v/>
      </c>
      <c r="J11" s="27">
        <f>MIN(0.0,14)/14</f>
        <v/>
      </c>
      <c r="K11" s="27">
        <f>MIN(0.0,12)/12</f>
        <v/>
      </c>
      <c r="L11" s="27">
        <f>MIN(0.0,11)/11</f>
        <v/>
      </c>
      <c r="M11" s="27">
        <f>MIN(0.0,13)/13</f>
        <v/>
      </c>
      <c r="N11" s="27">
        <f>MIN(10.5933,12)/12</f>
        <v/>
      </c>
      <c r="O11" s="27">
        <f>MIN(0.1256,3)/3</f>
        <v/>
      </c>
      <c r="P11" s="27">
        <f>MIN(0.0,6)/6</f>
        <v/>
      </c>
      <c r="Q11" s="27">
        <f>MIN(2.465,3)/3</f>
        <v/>
      </c>
    </row>
    <row r="12" ht="17.1" customHeight="1">
      <c r="A12" s="13" t="inlineStr">
        <is>
          <t>PUDDU RAIMONDO</t>
        </is>
      </c>
      <c r="B12" s="14" t="inlineStr">
        <is>
          <t>PDDRND75R08H501S</t>
        </is>
      </c>
      <c r="C12" s="13" t="inlineStr">
        <is>
          <t>Big Data - Tecninf - Fondoconoscenza</t>
        </is>
      </c>
      <c r="D12" s="27">
        <f>MIN(0.0,20)/20</f>
        <v/>
      </c>
      <c r="E12" s="27">
        <f>MIN(0.0,5)/5</f>
        <v/>
      </c>
      <c r="F12" s="27">
        <f>MIN(10.5847,18)/18</f>
        <v/>
      </c>
      <c r="G12" s="27">
        <f>MIN(0.0,17)/17</f>
        <v/>
      </c>
      <c r="H12" s="27">
        <f>MIN(9.7256,5)/5</f>
        <v/>
      </c>
      <c r="I12" s="27">
        <f>MIN(11.1589,11)/11</f>
        <v/>
      </c>
      <c r="J12" s="27">
        <f>MIN(0.0,14)/14</f>
        <v/>
      </c>
      <c r="K12" s="27">
        <f>MIN(0.0,12)/12</f>
        <v/>
      </c>
      <c r="L12" s="27">
        <f>MIN(0.0,11)/11</f>
        <v/>
      </c>
      <c r="M12" s="27">
        <f>MIN(4.7972,13)/13</f>
        <v/>
      </c>
      <c r="N12" s="27">
        <f>MIN(23.2533,12)/12</f>
        <v/>
      </c>
      <c r="O12" s="27">
        <f>MIN(0.0,3)/3</f>
        <v/>
      </c>
      <c r="P12" s="27">
        <f>MIN(0.0,6)/6</f>
        <v/>
      </c>
      <c r="Q12" s="27">
        <f>MIN(0.0,3)/3</f>
        <v/>
      </c>
    </row>
    <row r="13" ht="17.1" customHeight="1">
      <c r="A13" s="13" t="inlineStr">
        <is>
          <t>ROSA JEREMY DELA</t>
        </is>
      </c>
      <c r="B13" s="14" t="inlineStr">
        <is>
          <t>DLRJMY02A20H501A</t>
        </is>
      </c>
      <c r="C13" s="13" t="inlineStr">
        <is>
          <t>Big Data - Tecninf - Fondoconoscenza</t>
        </is>
      </c>
      <c r="D13" s="27">
        <f>MIN(0.0,20)/20</f>
        <v/>
      </c>
      <c r="E13" s="27">
        <f>MIN(0.0,5)/5</f>
        <v/>
      </c>
      <c r="F13" s="27">
        <f>MIN(0.0,18)/18</f>
        <v/>
      </c>
      <c r="G13" s="27">
        <f>MIN(0.0,17)/17</f>
        <v/>
      </c>
      <c r="H13" s="27">
        <f>MIN(0.0,5)/5</f>
        <v/>
      </c>
      <c r="I13" s="27">
        <f>MIN(0.0,11)/11</f>
        <v/>
      </c>
      <c r="J13" s="27">
        <f>MIN(0.0,14)/14</f>
        <v/>
      </c>
      <c r="K13" s="27">
        <f>MIN(0.0,12)/12</f>
        <v/>
      </c>
      <c r="L13" s="27">
        <f>MIN(0.0,11)/11</f>
        <v/>
      </c>
      <c r="M13" s="27">
        <f>MIN(0.0,13)/13</f>
        <v/>
      </c>
      <c r="N13" s="27">
        <f>MIN(18.1825,12)/12</f>
        <v/>
      </c>
      <c r="O13" s="27">
        <f>MIN(0.0,3)/3</f>
        <v/>
      </c>
      <c r="P13" s="27">
        <f>MIN(0.0,6)/6</f>
        <v/>
      </c>
      <c r="Q13" s="27">
        <f>MIN(0.0,3)/3</f>
        <v/>
      </c>
    </row>
    <row r="14" ht="17.1" customHeight="1">
      <c r="A14" s="13" t="inlineStr">
        <is>
          <t>SALPIETRO GIANLUCA</t>
        </is>
      </c>
      <c r="B14" s="14" t="inlineStr">
        <is>
          <t>SLPGLC81B17G377J</t>
        </is>
      </c>
      <c r="C14" s="13" t="inlineStr">
        <is>
          <t>Big Data - Tecninf - Fondoconoscenza</t>
        </is>
      </c>
      <c r="D14" s="27">
        <f>MIN(0.0,20)/20</f>
        <v/>
      </c>
      <c r="E14" s="27">
        <f>MIN(0.0,5)/5</f>
        <v/>
      </c>
      <c r="F14" s="27">
        <f>MIN(8.0122,18)/18</f>
        <v/>
      </c>
      <c r="G14" s="27">
        <f>MIN(9.0469,17)/17</f>
        <v/>
      </c>
      <c r="H14" s="27">
        <f>MIN(5.1822,5)/5</f>
        <v/>
      </c>
      <c r="I14" s="27">
        <f>MIN(18.9803,11)/11</f>
        <v/>
      </c>
      <c r="J14" s="27">
        <f>MIN(0.0,14)/14</f>
        <v/>
      </c>
      <c r="K14" s="27">
        <f>MIN(0.0,12)/12</f>
        <v/>
      </c>
      <c r="L14" s="27">
        <f>MIN(29.9961,11)/11</f>
        <v/>
      </c>
      <c r="M14" s="27">
        <f>MIN(24.5767,13)/13</f>
        <v/>
      </c>
      <c r="N14" s="27">
        <f>MIN(14.2711,12)/12</f>
        <v/>
      </c>
      <c r="O14" s="27">
        <f>MIN(0.0,3)/3</f>
        <v/>
      </c>
      <c r="P14" s="27">
        <f>MIN(0.0267,6)/6</f>
        <v/>
      </c>
      <c r="Q14" s="27">
        <f>MIN(2.2639,3)/3</f>
        <v/>
      </c>
    </row>
    <row r="15" ht="17.1" customHeight="1">
      <c r="A15" s="13" t="inlineStr">
        <is>
          <t>SALVATI CARMINE</t>
        </is>
      </c>
      <c r="B15" s="14" t="inlineStr">
        <is>
          <t>SLVCMN80D14D086Z</t>
        </is>
      </c>
      <c r="C15" s="13" t="inlineStr">
        <is>
          <t>Big Data - Tecninf - Fondoconoscenza</t>
        </is>
      </c>
      <c r="D15" s="27">
        <f>MIN(8.9972,20)/20</f>
        <v/>
      </c>
      <c r="E15" s="27">
        <f>MIN(8.2975,5)/5</f>
        <v/>
      </c>
      <c r="F15" s="27">
        <f>MIN(7.8697,18)/18</f>
        <v/>
      </c>
      <c r="G15" s="27">
        <f>MIN(5.7186,17)/17</f>
        <v/>
      </c>
      <c r="H15" s="27">
        <f>MIN(5.8442,5)/5</f>
        <v/>
      </c>
      <c r="I15" s="27">
        <f>MIN(4.2142,11)/11</f>
        <v/>
      </c>
      <c r="J15" s="27">
        <f>MIN(11.0036,14)/14</f>
        <v/>
      </c>
      <c r="K15" s="27">
        <f>MIN(11.4944,12)/12</f>
        <v/>
      </c>
      <c r="L15" s="27">
        <f>MIN(22.5481,11)/11</f>
        <v/>
      </c>
      <c r="M15" s="27">
        <f>MIN(17.135,13)/13</f>
        <v/>
      </c>
      <c r="N15" s="27">
        <f>MIN(14.2367,12)/12</f>
        <v/>
      </c>
      <c r="O15" s="27">
        <f>MIN(0.8972,3)/3</f>
        <v/>
      </c>
      <c r="P15" s="27">
        <f>MIN(1.5372,6)/6</f>
        <v/>
      </c>
      <c r="Q15" s="27">
        <f>MIN(1.1611,3)/3</f>
        <v/>
      </c>
    </row>
    <row r="16" ht="17.1" customHeight="1">
      <c r="A16" s="13" t="inlineStr">
        <is>
          <t>SAMBRINI ALESSIA</t>
        </is>
      </c>
      <c r="B16" s="14" t="inlineStr">
        <is>
          <t>SMBLSS74D47H501E</t>
        </is>
      </c>
      <c r="C16" s="13" t="inlineStr">
        <is>
          <t>Big Data - Tecninf - Fondoconoscenza</t>
        </is>
      </c>
      <c r="D16" s="27">
        <f>MIN(21.1408,20)/20</f>
        <v/>
      </c>
      <c r="E16" s="27">
        <f>MIN(1.1253,5)/5</f>
        <v/>
      </c>
      <c r="F16" s="27">
        <f>MIN(11.5794,18)/18</f>
        <v/>
      </c>
      <c r="G16" s="27">
        <f>MIN(23.0306,17)/17</f>
        <v/>
      </c>
      <c r="H16" s="27">
        <f>MIN(12.4369,5)/5</f>
        <v/>
      </c>
      <c r="I16" s="27">
        <f>MIN(15.0872,11)/11</f>
        <v/>
      </c>
      <c r="J16" s="27">
        <f>MIN(0.0,14)/14</f>
        <v/>
      </c>
      <c r="K16" s="27">
        <f>MIN(12.2775,12)/12</f>
        <v/>
      </c>
      <c r="L16" s="27">
        <f>MIN(0.0,11)/11</f>
        <v/>
      </c>
      <c r="M16" s="27">
        <f>MIN(23.7458,13)/13</f>
        <v/>
      </c>
      <c r="N16" s="27">
        <f>MIN(27.1636,12)/12</f>
        <v/>
      </c>
      <c r="O16" s="27">
        <f>MIN(0.7914,3)/3</f>
        <v/>
      </c>
      <c r="P16" s="27">
        <f>MIN(11.3706,6)/6</f>
        <v/>
      </c>
      <c r="Q16" s="27">
        <f>MIN(0.0,3)/3</f>
        <v/>
      </c>
    </row>
    <row r="17" ht="17.1" customHeight="1">
      <c r="A17" s="13" t="inlineStr">
        <is>
          <t>SCALVEDI FILIPPO</t>
        </is>
      </c>
      <c r="B17" s="14" t="inlineStr">
        <is>
          <t>SCLFPP97S05H501K</t>
        </is>
      </c>
      <c r="C17" s="13" t="inlineStr">
        <is>
          <t>Big Data - Tecninf - Fondoconoscenza</t>
        </is>
      </c>
      <c r="D17" s="27">
        <f>MIN(0.0,20)/20</f>
        <v/>
      </c>
      <c r="E17" s="27">
        <f>MIN(0.0,5)/5</f>
        <v/>
      </c>
      <c r="F17" s="27">
        <f>MIN(0.0,18)/18</f>
        <v/>
      </c>
      <c r="G17" s="27">
        <f>MIN(0.0,17)/17</f>
        <v/>
      </c>
      <c r="H17" s="27">
        <f>MIN(0.0,5)/5</f>
        <v/>
      </c>
      <c r="I17" s="27">
        <f>MIN(0.0,11)/11</f>
        <v/>
      </c>
      <c r="J17" s="27">
        <f>MIN(0.0,14)/14</f>
        <v/>
      </c>
      <c r="K17" s="27">
        <f>MIN(0.0,12)/12</f>
        <v/>
      </c>
      <c r="L17" s="27">
        <f>MIN(0.0,11)/11</f>
        <v/>
      </c>
      <c r="M17" s="27">
        <f>MIN(0.0,13)/13</f>
        <v/>
      </c>
      <c r="N17" s="27">
        <f>MIN(8.4719,12)/12</f>
        <v/>
      </c>
      <c r="O17" s="27">
        <f>MIN(0.0,3)/3</f>
        <v/>
      </c>
      <c r="P17" s="27">
        <f>MIN(0.0,6)/6</f>
        <v/>
      </c>
      <c r="Q17" s="27">
        <f>MIN(0.0,3)/3</f>
        <v/>
      </c>
    </row>
    <row r="18" ht="17.1" customHeight="1">
      <c r="A18" s="13" t="inlineStr">
        <is>
          <t>SCRIMIERI TIZIANO</t>
        </is>
      </c>
      <c r="B18" s="14" t="inlineStr">
        <is>
          <t>SCRTZN80A09H501I</t>
        </is>
      </c>
      <c r="C18" s="13" t="inlineStr">
        <is>
          <t>Big Data - Tecninf - Fondoconoscenza</t>
        </is>
      </c>
      <c r="D18" s="27">
        <f>MIN(8.0514,20)/20</f>
        <v/>
      </c>
      <c r="E18" s="27">
        <f>MIN(0.0,5)/5</f>
        <v/>
      </c>
      <c r="F18" s="27">
        <f>MIN(9.4994,18)/18</f>
        <v/>
      </c>
      <c r="G18" s="27">
        <f>MIN(0.0,17)/17</f>
        <v/>
      </c>
      <c r="H18" s="27">
        <f>MIN(7.1489,5)/5</f>
        <v/>
      </c>
      <c r="I18" s="27">
        <f>MIN(9.1525,11)/11</f>
        <v/>
      </c>
      <c r="J18" s="27">
        <f>MIN(0.0,14)/14</f>
        <v/>
      </c>
      <c r="K18" s="27">
        <f>MIN(0.0,12)/12</f>
        <v/>
      </c>
      <c r="L18" s="27">
        <f>MIN(0.0,11)/11</f>
        <v/>
      </c>
      <c r="M18" s="27">
        <f>MIN(9.8411,13)/13</f>
        <v/>
      </c>
      <c r="N18" s="27">
        <f>MIN(23.3014,12)/12</f>
        <v/>
      </c>
      <c r="O18" s="27">
        <f>MIN(0.0,3)/3</f>
        <v/>
      </c>
      <c r="P18" s="27">
        <f>MIN(0.0,6)/6</f>
        <v/>
      </c>
      <c r="Q18" s="27">
        <f>MIN(0.0,3)/3</f>
        <v/>
      </c>
    </row>
    <row r="19" ht="17.1" customHeight="1">
      <c r="A19" s="13" t="inlineStr">
        <is>
          <t>STASIUC DENIS</t>
        </is>
      </c>
      <c r="B19" s="14" t="inlineStr">
        <is>
          <t>STSDNS91B05Z140T</t>
        </is>
      </c>
      <c r="C19" s="13" t="inlineStr">
        <is>
          <t>Big Data - Tecninf - Fondoconoscenza</t>
        </is>
      </c>
      <c r="D19" s="27">
        <f>MIN(20.6358,20)/20</f>
        <v/>
      </c>
      <c r="E19" s="27">
        <f>MIN(9.765,5)/5</f>
        <v/>
      </c>
      <c r="F19" s="27">
        <f>MIN(19.6206,18)/18</f>
        <v/>
      </c>
      <c r="G19" s="27">
        <f>MIN(13.8464,17)/17</f>
        <v/>
      </c>
      <c r="H19" s="27">
        <f>MIN(13.1097,5)/5</f>
        <v/>
      </c>
      <c r="I19" s="27">
        <f>MIN(14.3972,11)/11</f>
        <v/>
      </c>
      <c r="J19" s="27">
        <f>MIN(13.7297,14)/14</f>
        <v/>
      </c>
      <c r="K19" s="27">
        <f>MIN(14.7278,12)/12</f>
        <v/>
      </c>
      <c r="L19" s="27">
        <f>MIN(33.9014,11)/11</f>
        <v/>
      </c>
      <c r="M19" s="27">
        <f>MIN(25.7175,13)/13</f>
        <v/>
      </c>
      <c r="N19" s="27">
        <f>MIN(35.545,12)/12</f>
        <v/>
      </c>
      <c r="O19" s="27">
        <f>MIN(5.6769,3)/3</f>
        <v/>
      </c>
      <c r="P19" s="27">
        <f>MIN(9.3469,6)/6</f>
        <v/>
      </c>
      <c r="Q19" s="27">
        <f>MIN(7.8439,3)/3</f>
        <v/>
      </c>
    </row>
  </sheetData>
  <mergeCells count="2">
    <mergeCell ref="A1:Q1"/>
    <mergeCell ref="A2:C2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7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 ht="26.1" customHeight="1">
      <c r="A1" s="1" t="inlineStr">
        <is>
          <t>DETTAGLIO L'UFFICIO DIGITALE - % veritiera per singolo corso (ore effettive cappate al 100% della durata attesa)</t>
        </is>
      </c>
    </row>
    <row r="2" ht="17.1" customHeight="1">
      <c r="A2" s="26" t="inlineStr">
        <is>
          <t>Durata attesa (h)</t>
        </is>
      </c>
      <c r="D2" s="26" t="n">
        <v>20</v>
      </c>
      <c r="E2" s="26" t="n">
        <v>5</v>
      </c>
      <c r="F2" s="26" t="n">
        <v>2</v>
      </c>
      <c r="G2" s="26" t="n">
        <v>2</v>
      </c>
      <c r="H2" s="26" t="n">
        <v>16</v>
      </c>
      <c r="I2" s="26" t="n">
        <v>3</v>
      </c>
      <c r="J2" s="26" t="n">
        <v>5</v>
      </c>
      <c r="K2" s="26" t="n">
        <v>4</v>
      </c>
      <c r="L2" s="26" t="n">
        <v>2</v>
      </c>
      <c r="M2" s="26" t="n">
        <v>7</v>
      </c>
      <c r="N2" s="26" t="n">
        <v>23</v>
      </c>
      <c r="O2" s="26" t="n">
        <v>3</v>
      </c>
      <c r="P2" s="26" t="n">
        <v>14</v>
      </c>
      <c r="Q2" s="26" t="n">
        <v>3</v>
      </c>
      <c r="R2" s="26" t="n">
        <v>9</v>
      </c>
      <c r="S2" s="26" t="n">
        <v>3</v>
      </c>
      <c r="T2" s="26" t="n">
        <v>5</v>
      </c>
      <c r="U2" s="26" t="n">
        <v>7</v>
      </c>
      <c r="V2" s="26" t="n">
        <v>3</v>
      </c>
      <c r="W2" s="26" t="n">
        <v>2</v>
      </c>
      <c r="X2" s="26" t="n">
        <v>3</v>
      </c>
      <c r="Y2" s="26" t="n">
        <v>9</v>
      </c>
    </row>
    <row r="3" ht="56.1" customHeight="1">
      <c r="A3" s="2" t="inlineStr">
        <is>
          <t>Discente</t>
        </is>
      </c>
      <c r="B3" s="2" t="inlineStr">
        <is>
          <t>Codice Fiscale</t>
        </is>
      </c>
      <c r="C3" s="2" t="inlineStr">
        <is>
          <t>Percorso Formativo</t>
        </is>
      </c>
      <c r="D3" s="2" t="inlineStr">
        <is>
          <t>GDPR e nuove normative Europee</t>
        </is>
      </c>
      <c r="E3" s="2" t="inlineStr">
        <is>
          <t>Elementi base di sicurezza informatica</t>
        </is>
      </c>
      <c r="F3" s="2" t="inlineStr">
        <is>
          <t>Virus e Antivirus per tutti</t>
        </is>
      </c>
      <c r="G3" s="2" t="inlineStr">
        <is>
          <t>Backup: rendiamolo facile per tutti</t>
        </is>
      </c>
      <c r="H3" s="2" t="inlineStr">
        <is>
          <t>Introduzione al mondo di Microsoft office 365</t>
        </is>
      </c>
      <c r="I3" s="2" t="inlineStr">
        <is>
          <t>Microsoft 365: OneDrive corso completo</t>
        </is>
      </c>
      <c r="J3" s="2" t="inlineStr">
        <is>
          <t>Microsoft 365: Outlook desktop corso completo</t>
        </is>
      </c>
      <c r="K3" s="2" t="inlineStr">
        <is>
          <t>Microsoft 365: Outlook sul Web corso completo</t>
        </is>
      </c>
      <c r="L3" s="2" t="inlineStr">
        <is>
          <t>Microsoft 365: iniziare subito a lavorare con Teams</t>
        </is>
      </c>
      <c r="M3" s="2" t="inlineStr">
        <is>
          <t>Microsoft 365: Word corso completo</t>
        </is>
      </c>
      <c r="N3" s="2" t="inlineStr">
        <is>
          <t>Microsoft 365: Excel dai fondamentali al livello 4.0</t>
        </is>
      </c>
      <c r="O3" s="2" t="inlineStr">
        <is>
          <t>Microsoft 365: Excel basi di calcolo con Tabelle Pivot</t>
        </is>
      </c>
      <c r="P3" s="2" t="inlineStr">
        <is>
          <t>Microsoft 365: Excel corso avanzato con tabelle Pivot</t>
        </is>
      </c>
      <c r="Q3" s="2" t="inlineStr">
        <is>
          <t>Microsoft 365: Power Query corso base</t>
        </is>
      </c>
      <c r="R3" s="2" t="inlineStr">
        <is>
          <t>Microsoft 365: Data Modeling con Power Query</t>
        </is>
      </c>
      <c r="S3" s="2" t="inlineStr">
        <is>
          <t>Microsoft 365: Proiezioni e calcoli con Power BI Desktop</t>
        </is>
      </c>
      <c r="T3" s="2" t="inlineStr">
        <is>
          <t>Microsoft 365: PowerPoint dalla base ai fondamentali</t>
        </is>
      </c>
      <c r="U3" s="2" t="inlineStr">
        <is>
          <t>Microsoft 365: elementi avanzati, suggerimenti e trucchi in PowerPoint</t>
        </is>
      </c>
      <c r="V3" s="2" t="inlineStr">
        <is>
          <t>Microsoft 365: strategie per fare presentazioni efficaci in PowerPoint</t>
        </is>
      </c>
      <c r="W3" s="2" t="inlineStr">
        <is>
          <t>Microsoft 365: strumenti per fare presentazioni efficaci in PowerPoint</t>
        </is>
      </c>
      <c r="X3" s="2" t="inlineStr">
        <is>
          <t>La gestione del lavoro in Google Sheet</t>
        </is>
      </c>
      <c r="Y3" s="2" t="inlineStr">
        <is>
          <t>I sistemi informatici</t>
        </is>
      </c>
    </row>
    <row r="4" ht="17.1" customHeight="1">
      <c r="A4" s="13" t="inlineStr">
        <is>
          <t>CHIARA GOBBI MARIA</t>
        </is>
      </c>
      <c r="B4" s="14" t="inlineStr">
        <is>
          <t>GBBMCH73R57H501G</t>
        </is>
      </c>
      <c r="C4" s="13" t="inlineStr">
        <is>
          <t>L'ufficio digitale - Tecninf - Fondoconoscenza</t>
        </is>
      </c>
      <c r="D4" s="27">
        <f>MIN(15.1119,20)/20</f>
        <v/>
      </c>
      <c r="E4" s="27">
        <f>MIN(7.3069,5)/5</f>
        <v/>
      </c>
      <c r="F4" s="27">
        <f>MIN(6.3944,2)/2</f>
        <v/>
      </c>
      <c r="G4" s="27">
        <f>MIN(3.6878,2)/2</f>
        <v/>
      </c>
      <c r="H4" s="27">
        <f>MIN(5.0436,16)/16</f>
        <v/>
      </c>
      <c r="I4" s="27">
        <f>MIN(4.7322,3)/3</f>
        <v/>
      </c>
      <c r="J4" s="27">
        <f>MIN(4.6261,5)/5</f>
        <v/>
      </c>
      <c r="K4" s="27">
        <f>MIN(11.3839,4)/4</f>
        <v/>
      </c>
      <c r="L4" s="27">
        <f>MIN(2.0289,2)/2</f>
        <v/>
      </c>
      <c r="M4" s="27">
        <f>MIN(21.1625,7)/7</f>
        <v/>
      </c>
      <c r="N4" s="27">
        <f>MIN(59.2758,23)/23</f>
        <v/>
      </c>
      <c r="O4" s="27">
        <f>MIN(3.3322,3)/3</f>
        <v/>
      </c>
      <c r="P4" s="27">
        <f>MIN(37.7739,14)/14</f>
        <v/>
      </c>
      <c r="Q4" s="27">
        <f>MIN(8.9775,3)/3</f>
        <v/>
      </c>
      <c r="R4" s="27">
        <f>MIN(5.8036,9)/9</f>
        <v/>
      </c>
      <c r="S4" s="27">
        <f>MIN(9.4042,3)/3</f>
        <v/>
      </c>
      <c r="T4" s="27">
        <f>MIN(10.6214,5)/5</f>
        <v/>
      </c>
      <c r="U4" s="27">
        <f>MIN(0.9706,7)/7</f>
        <v/>
      </c>
      <c r="V4" s="27">
        <f>MIN(5.8489,3)/3</f>
        <v/>
      </c>
      <c r="W4" s="27">
        <f>MIN(2.3681,2)/2</f>
        <v/>
      </c>
      <c r="X4" s="27">
        <f>MIN(8.3836,3)/3</f>
        <v/>
      </c>
      <c r="Y4" s="27">
        <f>MIN(8.7478,9)/9</f>
        <v/>
      </c>
    </row>
  </sheetData>
  <mergeCells count="2">
    <mergeCell ref="A2:C2"/>
    <mergeCell ref="A1:Y1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7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6.1" customHeight="1">
      <c r="A1" s="1" t="inlineStr">
        <is>
          <t>DETTAGLIO LA PROGRAMMAZIONE - % veritiera per singolo corso (ore effettive cappate al 100% della durata attesa)</t>
        </is>
      </c>
    </row>
    <row r="2" ht="17.1" customHeight="1">
      <c r="A2" s="26" t="inlineStr">
        <is>
          <t>Durata attesa (h)</t>
        </is>
      </c>
      <c r="D2" s="26" t="n">
        <v>20</v>
      </c>
      <c r="E2" s="26" t="n">
        <v>16</v>
      </c>
      <c r="F2" s="26" t="n">
        <v>17</v>
      </c>
      <c r="G2" s="26" t="n">
        <v>33</v>
      </c>
      <c r="H2" s="26" t="n">
        <v>20</v>
      </c>
      <c r="I2" s="26" t="n">
        <v>12</v>
      </c>
      <c r="J2" s="26" t="n">
        <v>11</v>
      </c>
      <c r="K2" s="26" t="n">
        <v>10</v>
      </c>
      <c r="L2" s="26" t="n">
        <v>11</v>
      </c>
    </row>
    <row r="3" ht="56.1" customHeight="1">
      <c r="A3" s="2" t="inlineStr">
        <is>
          <t>Discente</t>
        </is>
      </c>
      <c r="B3" s="2" t="inlineStr">
        <is>
          <t>Codice Fiscale</t>
        </is>
      </c>
      <c r="C3" s="2" t="inlineStr">
        <is>
          <t>Percorso Formativo</t>
        </is>
      </c>
      <c r="D3" s="2" t="inlineStr">
        <is>
          <t>GDPR e nuove normative Europee</t>
        </is>
      </c>
      <c r="E3" s="2" t="inlineStr">
        <is>
          <t>I sistemi operativi</t>
        </is>
      </c>
      <c r="F3" s="2" t="inlineStr">
        <is>
          <t>Linguaggi di programmazione</t>
        </is>
      </c>
      <c r="G3" s="2" t="inlineStr">
        <is>
          <t>Front end base: HTML, CSS, Bootstrap</t>
        </is>
      </c>
      <c r="H3" s="2" t="inlineStr">
        <is>
          <t>Front end avanzato: JavaScript e jQuery</t>
        </is>
      </c>
      <c r="I3" s="2" t="inlineStr">
        <is>
          <t>Back end base: Fondamenti di PHP</t>
        </is>
      </c>
      <c r="J3" s="2" t="inlineStr">
        <is>
          <t>Database relazionali e linguaggio SQL con PHP</t>
        </is>
      </c>
      <c r="K3" s="2" t="inlineStr">
        <is>
          <t>Applicazioni dinamiche con PHP e MySql</t>
        </is>
      </c>
      <c r="L3" s="2" t="inlineStr">
        <is>
          <t>Back end avanzato: PHP MVC con Laravel</t>
        </is>
      </c>
    </row>
    <row r="4" ht="17.1" customHeight="1">
      <c r="A4" s="13" t="inlineStr">
        <is>
          <t>ALBA WILLIAM JULIAN PAZ</t>
        </is>
      </c>
      <c r="B4" s="14" t="inlineStr">
        <is>
          <t>PZLWLM96A16Z504F</t>
        </is>
      </c>
      <c r="C4" s="13" t="inlineStr">
        <is>
          <t>La programmazione - Tecninf - Fondoconoscenza</t>
        </is>
      </c>
      <c r="D4" s="27">
        <f>MIN(1.4942,20)/20</f>
        <v/>
      </c>
      <c r="E4" s="27">
        <f>MIN(7.4422,16)/16</f>
        <v/>
      </c>
      <c r="F4" s="27">
        <f>MIN(1.0625,17)/17</f>
        <v/>
      </c>
      <c r="G4" s="27">
        <f>MIN(0.0,33)/33</f>
        <v/>
      </c>
      <c r="H4" s="27">
        <f>MIN(0.0,20)/20</f>
        <v/>
      </c>
      <c r="I4" s="27">
        <f>MIN(0.0,12)/12</f>
        <v/>
      </c>
      <c r="J4" s="27">
        <f>MIN(0.0,11)/11</f>
        <v/>
      </c>
      <c r="K4" s="27">
        <f>MIN(0.0,10)/10</f>
        <v/>
      </c>
      <c r="L4" s="27">
        <f>MIN(0.0,11)/11</f>
        <v/>
      </c>
    </row>
    <row r="5" ht="17.1" customHeight="1">
      <c r="A5" s="13" t="inlineStr">
        <is>
          <t>BADINE HICHAM</t>
        </is>
      </c>
      <c r="B5" s="14" t="inlineStr">
        <is>
          <t>BDNHHM97H19H501Q</t>
        </is>
      </c>
      <c r="C5" s="13" t="inlineStr">
        <is>
          <t>La programmazione - Tecninf - Fondoconoscenza</t>
        </is>
      </c>
      <c r="D5" s="27">
        <f>MIN(0.0,20)/20</f>
        <v/>
      </c>
      <c r="E5" s="27">
        <f>MIN(0.0,16)/16</f>
        <v/>
      </c>
      <c r="F5" s="27">
        <f>MIN(0.0,17)/17</f>
        <v/>
      </c>
      <c r="G5" s="27">
        <f>MIN(24.9092,33)/33</f>
        <v/>
      </c>
      <c r="H5" s="27">
        <f>MIN(6.1381,20)/20</f>
        <v/>
      </c>
      <c r="I5" s="27">
        <f>MIN(0.0,12)/12</f>
        <v/>
      </c>
      <c r="J5" s="27">
        <f>MIN(0.0,11)/11</f>
        <v/>
      </c>
      <c r="K5" s="27">
        <f>MIN(13.1972,10)/10</f>
        <v/>
      </c>
      <c r="L5" s="27">
        <f>MIN(15.7164,11)/11</f>
        <v/>
      </c>
    </row>
    <row r="6" ht="17.1" customHeight="1">
      <c r="A6" s="13" t="inlineStr">
        <is>
          <t>BECIANI ANDREA</t>
        </is>
      </c>
      <c r="B6" s="14" t="inlineStr">
        <is>
          <t>BCNNDR82P16D773D</t>
        </is>
      </c>
      <c r="C6" s="13" t="inlineStr">
        <is>
          <t>La programmazione - Tecninf - Fondoconoscenza</t>
        </is>
      </c>
      <c r="D6" s="27">
        <f>MIN(23.4642,20)/20</f>
        <v/>
      </c>
      <c r="E6" s="27">
        <f>MIN(10.8308,16)/16</f>
        <v/>
      </c>
      <c r="F6" s="27">
        <f>MIN(8.0433,17)/17</f>
        <v/>
      </c>
      <c r="G6" s="27">
        <f>MIN(33.5075,33)/33</f>
        <v/>
      </c>
      <c r="H6" s="27">
        <f>MIN(23.1656,20)/20</f>
        <v/>
      </c>
      <c r="I6" s="27">
        <f>MIN(10.0825,12)/12</f>
        <v/>
      </c>
      <c r="J6" s="27">
        <f>MIN(12.9411,11)/11</f>
        <v/>
      </c>
      <c r="K6" s="27">
        <f>MIN(12.11,10)/10</f>
        <v/>
      </c>
      <c r="L6" s="27">
        <f>MIN(7.9219,11)/11</f>
        <v/>
      </c>
    </row>
    <row r="7" ht="17.1" customHeight="1">
      <c r="A7" s="13" t="inlineStr">
        <is>
          <t>CECCONI ANTHONY</t>
        </is>
      </c>
      <c r="B7" s="14" t="inlineStr">
        <is>
          <t>CCCNHN91D19H501W</t>
        </is>
      </c>
      <c r="C7" s="13" t="inlineStr">
        <is>
          <t>La programmazione - Tecninf - Fondoconoscenza</t>
        </is>
      </c>
      <c r="D7" s="27">
        <f>MIN(9.3658,20)/20</f>
        <v/>
      </c>
      <c r="E7" s="27">
        <f>MIN(15.9711,16)/16</f>
        <v/>
      </c>
      <c r="F7" s="27">
        <f>MIN(0.0,17)/17</f>
        <v/>
      </c>
      <c r="G7" s="27">
        <f>MIN(38.385,33)/33</f>
        <v/>
      </c>
      <c r="H7" s="27">
        <f>MIN(27.3917,20)/20</f>
        <v/>
      </c>
      <c r="I7" s="27">
        <f>MIN(12.8919,12)/12</f>
        <v/>
      </c>
      <c r="J7" s="27">
        <f>MIN(16.6728,11)/11</f>
        <v/>
      </c>
      <c r="K7" s="27">
        <f>MIN(8.7717,10)/10</f>
        <v/>
      </c>
      <c r="L7" s="27">
        <f>MIN(1.5797,11)/11</f>
        <v/>
      </c>
    </row>
    <row r="8" ht="17.1" customHeight="1">
      <c r="A8" s="13" t="inlineStr">
        <is>
          <t>MAGNANINI LORENZO</t>
        </is>
      </c>
      <c r="B8" s="14" t="inlineStr">
        <is>
          <t>MGNLNZ97M04H501T</t>
        </is>
      </c>
      <c r="C8" s="13" t="inlineStr">
        <is>
          <t>La programmazione - Tecninf - Fondoconoscenza</t>
        </is>
      </c>
      <c r="D8" s="27">
        <f>MIN(0.0,20)/20</f>
        <v/>
      </c>
      <c r="E8" s="27">
        <f>MIN(0.4619,16)/16</f>
        <v/>
      </c>
      <c r="F8" s="27">
        <f>MIN(0.0,17)/17</f>
        <v/>
      </c>
      <c r="G8" s="27">
        <f>MIN(27.785,33)/33</f>
        <v/>
      </c>
      <c r="H8" s="27">
        <f>MIN(3.2653,20)/20</f>
        <v/>
      </c>
      <c r="I8" s="27">
        <f>MIN(6.0261,12)/12</f>
        <v/>
      </c>
      <c r="J8" s="27">
        <f>MIN(6.3022,11)/11</f>
        <v/>
      </c>
      <c r="K8" s="27">
        <f>MIN(7.6858,10)/10</f>
        <v/>
      </c>
      <c r="L8" s="27">
        <f>MIN(0.0,11)/11</f>
        <v/>
      </c>
    </row>
    <row r="9" ht="17.1" customHeight="1">
      <c r="A9" s="13" t="inlineStr">
        <is>
          <t>PACPACO MICHAEL DEPOLLY</t>
        </is>
      </c>
      <c r="B9" s="14" t="inlineStr">
        <is>
          <t>PCPMHL00R03H501G</t>
        </is>
      </c>
      <c r="C9" s="13" t="inlineStr">
        <is>
          <t>La programmazione - Tecninf - Fondoconoscenza</t>
        </is>
      </c>
      <c r="D9" s="27">
        <f>MIN(13.0581,20)/20</f>
        <v/>
      </c>
      <c r="E9" s="27">
        <f>MIN(16.4875,16)/16</f>
        <v/>
      </c>
      <c r="F9" s="27">
        <f>MIN(7.1603,17)/17</f>
        <v/>
      </c>
      <c r="G9" s="27">
        <f>MIN(40.8289,33)/33</f>
        <v/>
      </c>
      <c r="H9" s="27">
        <f>MIN(0.0,20)/20</f>
        <v/>
      </c>
      <c r="I9" s="27">
        <f>MIN(6.2808,12)/12</f>
        <v/>
      </c>
      <c r="J9" s="27">
        <f>MIN(11.2611,11)/11</f>
        <v/>
      </c>
      <c r="K9" s="27">
        <f>MIN(0.5994,10)/10</f>
        <v/>
      </c>
      <c r="L9" s="27">
        <f>MIN(0.0,11)/11</f>
        <v/>
      </c>
    </row>
    <row r="10" ht="17.1" customHeight="1">
      <c r="A10" s="13" t="inlineStr">
        <is>
          <t>RANIERI FRANCESCO</t>
        </is>
      </c>
      <c r="B10" s="14" t="inlineStr">
        <is>
          <t>RNRFNC99L28H501B</t>
        </is>
      </c>
      <c r="C10" s="13" t="inlineStr">
        <is>
          <t>La programmazione - Tecninf - Fondoconoscenza</t>
        </is>
      </c>
      <c r="D10" s="27">
        <f>MIN(9.6764,20)/20</f>
        <v/>
      </c>
      <c r="E10" s="27">
        <f>MIN(14.4144,16)/16</f>
        <v/>
      </c>
      <c r="F10" s="27">
        <f>MIN(8.8961,17)/17</f>
        <v/>
      </c>
      <c r="G10" s="27">
        <f>MIN(22.8575,33)/33</f>
        <v/>
      </c>
      <c r="H10" s="27">
        <f>MIN(24.5067,20)/20</f>
        <v/>
      </c>
      <c r="I10" s="27">
        <f>MIN(2.9897,12)/12</f>
        <v/>
      </c>
      <c r="J10" s="27">
        <f>MIN(17.6478,11)/11</f>
        <v/>
      </c>
      <c r="K10" s="27">
        <f>MIN(8.0142,10)/10</f>
        <v/>
      </c>
      <c r="L10" s="27">
        <f>MIN(0.0,11)/11</f>
        <v/>
      </c>
    </row>
    <row r="11" ht="17.1" customHeight="1">
      <c r="A11" s="13" t="inlineStr">
        <is>
          <t>SAVAIANO SILVIA</t>
        </is>
      </c>
      <c r="B11" s="14" t="inlineStr">
        <is>
          <t>SVNSLV89A46H501I</t>
        </is>
      </c>
      <c r="C11" s="13" t="inlineStr">
        <is>
          <t>La programmazione - Tecninf - Fondoconoscenza</t>
        </is>
      </c>
      <c r="D11" s="27">
        <f>MIN(15.6467,20)/20</f>
        <v/>
      </c>
      <c r="E11" s="27">
        <f>MIN(6.8525,16)/16</f>
        <v/>
      </c>
      <c r="F11" s="27">
        <f>MIN(7.2767,17)/17</f>
        <v/>
      </c>
      <c r="G11" s="27">
        <f>MIN(0.0,33)/33</f>
        <v/>
      </c>
      <c r="H11" s="27">
        <f>MIN(0.0,20)/20</f>
        <v/>
      </c>
      <c r="I11" s="27">
        <f>MIN(3.27,12)/12</f>
        <v/>
      </c>
      <c r="J11" s="27">
        <f>MIN(0.0,11)/11</f>
        <v/>
      </c>
      <c r="K11" s="27">
        <f>MIN(0.0,10)/10</f>
        <v/>
      </c>
      <c r="L11" s="27">
        <f>MIN(0.0,11)/11</f>
        <v/>
      </c>
    </row>
    <row r="12" ht="17.1" customHeight="1">
      <c r="A12" s="13" t="inlineStr">
        <is>
          <t>TARISCIOTTI ANDREA</t>
        </is>
      </c>
      <c r="B12" s="14" t="inlineStr">
        <is>
          <t>TRSNDR97M24H501B</t>
        </is>
      </c>
      <c r="C12" s="13" t="inlineStr">
        <is>
          <t>La programmazione - Tecninf - Fondoconoscenza</t>
        </is>
      </c>
      <c r="D12" s="27">
        <f>MIN(0.0,20)/20</f>
        <v/>
      </c>
      <c r="E12" s="27">
        <f>MIN(0.0,16)/16</f>
        <v/>
      </c>
      <c r="F12" s="27">
        <f>MIN(0.0,17)/17</f>
        <v/>
      </c>
      <c r="G12" s="27">
        <f>MIN(0.0,33)/33</f>
        <v/>
      </c>
      <c r="H12" s="27">
        <f>MIN(0.4125,20)/20</f>
        <v/>
      </c>
      <c r="I12" s="27">
        <f>MIN(0.0,12)/12</f>
        <v/>
      </c>
      <c r="J12" s="27">
        <f>MIN(0.0,11)/11</f>
        <v/>
      </c>
      <c r="K12" s="27">
        <f>MIN(6.0642,10)/10</f>
        <v/>
      </c>
      <c r="L12" s="27">
        <f>MIN(0.0,11)/11</f>
        <v/>
      </c>
    </row>
    <row r="13" ht="17.1" customHeight="1">
      <c r="A13" s="13" t="inlineStr">
        <is>
          <t>TOCI ANTONETA</t>
        </is>
      </c>
      <c r="B13" s="14" t="inlineStr">
        <is>
          <t>TCONNT91H59Z100O</t>
        </is>
      </c>
      <c r="C13" s="13" t="inlineStr">
        <is>
          <t>La programmazione - Tecninf - Fondoconoscenza</t>
        </is>
      </c>
      <c r="D13" s="27">
        <f>MIN(0.0,20)/20</f>
        <v/>
      </c>
      <c r="E13" s="27">
        <f>MIN(0.0,16)/16</f>
        <v/>
      </c>
      <c r="F13" s="27">
        <f>MIN(0.0,17)/17</f>
        <v/>
      </c>
      <c r="G13" s="27">
        <f>MIN(0.0,33)/33</f>
        <v/>
      </c>
      <c r="H13" s="27">
        <f>MIN(23.2192,20)/20</f>
        <v/>
      </c>
      <c r="I13" s="27">
        <f>MIN(0.0,12)/12</f>
        <v/>
      </c>
      <c r="J13" s="27">
        <f>MIN(0.0,11)/11</f>
        <v/>
      </c>
      <c r="K13" s="27">
        <f>MIN(0.0,10)/10</f>
        <v/>
      </c>
      <c r="L13" s="27">
        <f>MIN(0.0,11)/11</f>
        <v/>
      </c>
    </row>
  </sheetData>
  <mergeCells count="2">
    <mergeCell ref="A2:C2"/>
    <mergeCell ref="A1:L1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7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</cols>
  <sheetData>
    <row r="1" ht="26.1" customHeight="1">
      <c r="A1" s="1" t="inlineStr">
        <is>
          <t>DETTAGLIO PROJECT MANAGEMENT PER IL DIGITALE - % veritiera per singolo corso (ore effettive cappate al 100% della durata attesa)</t>
        </is>
      </c>
    </row>
    <row r="2" ht="17.1" customHeight="1">
      <c r="A2" s="26" t="inlineStr">
        <is>
          <t>Durata attesa (h)</t>
        </is>
      </c>
      <c r="D2" s="26" t="n">
        <v>5</v>
      </c>
      <c r="E2" s="26" t="n">
        <v>9</v>
      </c>
      <c r="F2" s="26" t="n">
        <v>2</v>
      </c>
      <c r="G2" s="26" t="n">
        <v>4</v>
      </c>
      <c r="H2" s="26" t="n">
        <v>3</v>
      </c>
      <c r="I2" s="26" t="n">
        <v>2</v>
      </c>
      <c r="J2" s="26" t="n">
        <v>2</v>
      </c>
      <c r="K2" s="26" t="n">
        <v>1</v>
      </c>
      <c r="L2" s="26" t="n">
        <v>3</v>
      </c>
      <c r="M2" s="26" t="n">
        <v>2</v>
      </c>
      <c r="N2" s="26" t="n">
        <v>1</v>
      </c>
      <c r="O2" s="26" t="n">
        <v>9</v>
      </c>
      <c r="P2" s="26" t="n">
        <v>8</v>
      </c>
      <c r="Q2" s="26" t="n">
        <v>9</v>
      </c>
      <c r="R2" s="26" t="n">
        <v>2</v>
      </c>
      <c r="S2" s="26" t="n">
        <v>12</v>
      </c>
      <c r="T2" s="26" t="n">
        <v>3</v>
      </c>
      <c r="U2" s="26" t="n">
        <v>3</v>
      </c>
      <c r="V2" s="26" t="n">
        <v>2</v>
      </c>
      <c r="W2" s="26" t="n">
        <v>4</v>
      </c>
      <c r="X2" s="26" t="n">
        <v>5</v>
      </c>
      <c r="Y2" s="26" t="n">
        <v>6</v>
      </c>
      <c r="Z2" s="26" t="n">
        <v>3</v>
      </c>
      <c r="AA2" s="26" t="n">
        <v>4</v>
      </c>
      <c r="AB2" s="26" t="n">
        <v>15</v>
      </c>
      <c r="AC2" s="26" t="n">
        <v>4</v>
      </c>
      <c r="AD2" s="26" t="n">
        <v>4</v>
      </c>
      <c r="AE2" s="26" t="n">
        <v>17</v>
      </c>
      <c r="AF2" s="26" t="n">
        <v>6</v>
      </c>
    </row>
    <row r="3" ht="56.1" customHeight="1">
      <c r="A3" s="2" t="inlineStr">
        <is>
          <t>Discente</t>
        </is>
      </c>
      <c r="B3" s="2" t="inlineStr">
        <is>
          <t>Codice Fiscale</t>
        </is>
      </c>
      <c r="C3" s="2" t="inlineStr">
        <is>
          <t>Percorso Formativo</t>
        </is>
      </c>
      <c r="D3" s="2" t="inlineStr">
        <is>
          <t>Influenzare positivamente il clima aziendale</t>
        </is>
      </c>
      <c r="E3" s="2" t="inlineStr">
        <is>
          <t>La gestione delle risorse umane</t>
        </is>
      </c>
      <c r="F3" s="2" t="inlineStr">
        <is>
          <t>La swot analysis del personale</t>
        </is>
      </c>
      <c r="G3" s="2" t="inlineStr">
        <is>
          <t>La gestione del conflitto</t>
        </is>
      </c>
      <c r="H3" s="2" t="inlineStr">
        <is>
          <t>Organizzare e gestire riunioni efficaci</t>
        </is>
      </c>
      <c r="I3" s="2" t="inlineStr">
        <is>
          <t>Ottimizzare ed organizzare i meeting online</t>
        </is>
      </c>
      <c r="J3" s="2" t="inlineStr">
        <is>
          <t>Gli approcci nel Problem Solving</t>
        </is>
      </c>
      <c r="K3" s="2" t="inlineStr">
        <is>
          <t>L'Hackathon nel Problem Solving</t>
        </is>
      </c>
      <c r="L3" s="2" t="inlineStr">
        <is>
          <t>La gestione del Feedback efficace</t>
        </is>
      </c>
      <c r="M3" s="2" t="inlineStr">
        <is>
          <t>Comprensione di una struttura organizzativa</t>
        </is>
      </c>
      <c r="N3" s="2" t="inlineStr">
        <is>
          <t>La definizione dei compiti e delle responsabilita</t>
        </is>
      </c>
      <c r="O3" s="2" t="inlineStr">
        <is>
          <t>I fondamentali del lavoro in team</t>
        </is>
      </c>
      <c r="P3" s="2" t="inlineStr">
        <is>
          <t>Il team e la sua cultura di crescita</t>
        </is>
      </c>
      <c r="Q3" s="2" t="inlineStr">
        <is>
          <t>Guidare un team con l'intelligenza emotiva</t>
        </is>
      </c>
      <c r="R3" s="2" t="inlineStr">
        <is>
          <t>Fondamenti di Project Management</t>
        </is>
      </c>
      <c r="S3" s="2" t="inlineStr">
        <is>
          <t>Ruoli e processi del Project Management</t>
        </is>
      </c>
      <c r="T3" s="2" t="inlineStr">
        <is>
          <t>Predictive-Waterfall e lo sviluppo di un progetto</t>
        </is>
      </c>
      <c r="U3" s="2" t="inlineStr">
        <is>
          <t>Business Plan cos'e e come compilarlo</t>
        </is>
      </c>
      <c r="V3" s="2" t="inlineStr">
        <is>
          <t>Mindset e soft skills per il digitale</t>
        </is>
      </c>
      <c r="W3" s="2" t="inlineStr">
        <is>
          <t>Le basi del Public Speaking</t>
        </is>
      </c>
      <c r="X3" s="2" t="inlineStr">
        <is>
          <t>Leadership e Motivazione</t>
        </is>
      </c>
      <c r="Y3" s="2" t="inlineStr">
        <is>
          <t>La scienza delle relazioni e l'arte di comunicare</t>
        </is>
      </c>
      <c r="Z3" s="2" t="inlineStr">
        <is>
          <t>Comunicazione aziendale e risoluzione dei conflitti</t>
        </is>
      </c>
      <c r="AA3" s="2" t="inlineStr">
        <is>
          <t>Il valore dell'unicita in azienda</t>
        </is>
      </c>
      <c r="AB3" s="2" t="inlineStr">
        <is>
          <t>Le Soft skills per il mondo del lavoro</t>
        </is>
      </c>
      <c r="AC3" s="2" t="inlineStr">
        <is>
          <t>Esercizi pratici per la gestione della Leadership</t>
        </is>
      </c>
      <c r="AD3" s="2" t="inlineStr">
        <is>
          <t>Comunicazione efficace e persuasione</t>
        </is>
      </c>
      <c r="AE3" s="2" t="inlineStr">
        <is>
          <t>Skills e competenze per comunicare in azienda</t>
        </is>
      </c>
      <c r="AF3" s="2" t="inlineStr">
        <is>
          <t>Project management Agile con ClickUp</t>
        </is>
      </c>
    </row>
    <row r="4" ht="17.1" customHeight="1">
      <c r="A4" s="13" t="inlineStr">
        <is>
          <t>BOONTAWEE JUTATIP</t>
        </is>
      </c>
      <c r="B4" s="14" t="inlineStr">
        <is>
          <t>BNTJTP78S54Z241U</t>
        </is>
      </c>
      <c r="C4" s="13" t="inlineStr">
        <is>
          <t>Project Management per il digitale - Tecninf - Fondoconoscenza</t>
        </is>
      </c>
      <c r="D4" s="27">
        <f>MIN(5.6325,5)/5</f>
        <v/>
      </c>
      <c r="E4" s="27">
        <f>MIN(7.0172,9)/9</f>
        <v/>
      </c>
      <c r="F4" s="27">
        <f>MIN(1.9003,2)/2</f>
        <v/>
      </c>
      <c r="G4" s="27">
        <f>MIN(6.5581,4)/4</f>
        <v/>
      </c>
      <c r="H4" s="27">
        <f>MIN(0.0,3)/3</f>
        <v/>
      </c>
      <c r="I4" s="27">
        <f>MIN(0.0,2)/2</f>
        <v/>
      </c>
      <c r="J4" s="27">
        <f>MIN(3.0886,2)/2</f>
        <v/>
      </c>
      <c r="K4" s="27">
        <f>MIN(2.7078,1)/1</f>
        <v/>
      </c>
      <c r="L4" s="27">
        <f>MIN(3.7925,3)/3</f>
        <v/>
      </c>
      <c r="M4" s="27">
        <f>MIN(3.8444,2)/2</f>
        <v/>
      </c>
      <c r="N4" s="27">
        <f>MIN(0.0,1)/1</f>
        <v/>
      </c>
      <c r="O4" s="27">
        <f>MIN(13.7172,9)/9</f>
        <v/>
      </c>
      <c r="P4" s="27">
        <f>MIN(8.4586,8)/8</f>
        <v/>
      </c>
      <c r="Q4" s="27">
        <f>MIN(9.965,9)/9</f>
        <v/>
      </c>
      <c r="R4" s="27">
        <f>MIN(0.8625,2)/2</f>
        <v/>
      </c>
      <c r="S4" s="27">
        <f>MIN(0.0,12)/12</f>
        <v/>
      </c>
      <c r="T4" s="27">
        <f>MIN(0.0,3)/3</f>
        <v/>
      </c>
      <c r="U4" s="27">
        <f>MIN(0.0,3)/3</f>
        <v/>
      </c>
      <c r="V4" s="27">
        <f>MIN(0.0,2)/2</f>
        <v/>
      </c>
      <c r="W4" s="27">
        <f>MIN(5.4661,4)/4</f>
        <v/>
      </c>
      <c r="X4" s="27">
        <f>MIN(0.4475,5)/5</f>
        <v/>
      </c>
      <c r="Y4" s="27">
        <f>MIN(6.8539,6)/6</f>
        <v/>
      </c>
      <c r="Z4" s="27">
        <f>MIN(5.0558,3)/3</f>
        <v/>
      </c>
      <c r="AA4" s="27">
        <f>MIN(0.0,4)/4</f>
        <v/>
      </c>
      <c r="AB4" s="27">
        <f>MIN(20.7894,15)/15</f>
        <v/>
      </c>
      <c r="AC4" s="27">
        <f>MIN(8.1064,4)/4</f>
        <v/>
      </c>
      <c r="AD4" s="27">
        <f>MIN(6.9275,4)/4</f>
        <v/>
      </c>
      <c r="AE4" s="27">
        <f>MIN(0.3119,17)/17</f>
        <v/>
      </c>
      <c r="AF4" s="27">
        <f>MIN(0.0,6)/6</f>
        <v/>
      </c>
    </row>
    <row r="5" ht="17.1" customHeight="1">
      <c r="A5" s="13" t="inlineStr">
        <is>
          <t>PINNA ROBERTO CAO</t>
        </is>
      </c>
      <c r="B5" s="14" t="inlineStr">
        <is>
          <t>CPNRRT66D27H501V</t>
        </is>
      </c>
      <c r="C5" s="13" t="inlineStr">
        <is>
          <t>Project Management per il digitale - Tecninf - Fondoconoscenza</t>
        </is>
      </c>
      <c r="D5" s="27">
        <f>MIN(5.0389,5)/5</f>
        <v/>
      </c>
      <c r="E5" s="27">
        <f>MIN(12.6197,9)/9</f>
        <v/>
      </c>
      <c r="F5" s="27">
        <f>MIN(3.4808,2)/2</f>
        <v/>
      </c>
      <c r="G5" s="27">
        <f>MIN(5.8475,4)/4</f>
        <v/>
      </c>
      <c r="H5" s="27">
        <f>MIN(4.5628,3)/3</f>
        <v/>
      </c>
      <c r="I5" s="27">
        <f>MIN(1.6328,2)/2</f>
        <v/>
      </c>
      <c r="J5" s="27">
        <f>MIN(0.6986,2)/2</f>
        <v/>
      </c>
      <c r="K5" s="27">
        <f>MIN(2.3944,1)/1</f>
        <v/>
      </c>
      <c r="L5" s="27">
        <f>MIN(3.4122,3)/3</f>
        <v/>
      </c>
      <c r="M5" s="27">
        <f>MIN(0.4431,2)/2</f>
        <v/>
      </c>
      <c r="N5" s="27">
        <f>MIN(0.0,1)/1</f>
        <v/>
      </c>
      <c r="O5" s="27">
        <f>MIN(12.6281,9)/9</f>
        <v/>
      </c>
      <c r="P5" s="27">
        <f>MIN(8.2361,8)/8</f>
        <v/>
      </c>
      <c r="Q5" s="27">
        <f>MIN(6.9969,9)/9</f>
        <v/>
      </c>
      <c r="R5" s="27">
        <f>MIN(0.4106,2)/2</f>
        <v/>
      </c>
      <c r="S5" s="27">
        <f>MIN(21.9324,12)/12</f>
        <v/>
      </c>
      <c r="T5" s="27">
        <f>MIN(2.1933,3)/3</f>
        <v/>
      </c>
      <c r="U5" s="27">
        <f>MIN(0.0,3)/3</f>
        <v/>
      </c>
      <c r="V5" s="27">
        <f>MIN(0.0,2)/2</f>
        <v/>
      </c>
      <c r="W5" s="27">
        <f>MIN(0.0,4)/4</f>
        <v/>
      </c>
      <c r="X5" s="27">
        <f>MIN(0.0,5)/5</f>
        <v/>
      </c>
      <c r="Y5" s="27">
        <f>MIN(0.0,6)/6</f>
        <v/>
      </c>
      <c r="Z5" s="27">
        <f>MIN(1.9325,3)/3</f>
        <v/>
      </c>
      <c r="AA5" s="27">
        <f>MIN(0.0,4)/4</f>
        <v/>
      </c>
      <c r="AB5" s="27">
        <f>MIN(0.0,15)/15</f>
        <v/>
      </c>
      <c r="AC5" s="27">
        <f>MIN(14.1503,4)/4</f>
        <v/>
      </c>
      <c r="AD5" s="27">
        <f>MIN(0.0,4)/4</f>
        <v/>
      </c>
      <c r="AE5" s="27">
        <f>MIN(0.3139,17)/17</f>
        <v/>
      </c>
      <c r="AF5" s="27">
        <f>MIN(0.0,6)/6</f>
        <v/>
      </c>
    </row>
    <row r="6" ht="17.1" customHeight="1">
      <c r="A6" s="13" t="inlineStr">
        <is>
          <t>VISWANATHAN SRIDHAR</t>
        </is>
      </c>
      <c r="B6" s="14" t="inlineStr">
        <is>
          <t>VSWSDH86S22Z222H</t>
        </is>
      </c>
      <c r="C6" s="13" t="inlineStr">
        <is>
          <t>Project Management per il digitale - Tecninf - Fondoconoscenza</t>
        </is>
      </c>
      <c r="D6" s="27">
        <f>MIN(4.8625,5)/5</f>
        <v/>
      </c>
      <c r="E6" s="27">
        <f>MIN(14.3408,9)/9</f>
        <v/>
      </c>
      <c r="F6" s="27">
        <f>MIN(4.9811,2)/2</f>
        <v/>
      </c>
      <c r="G6" s="27">
        <f>MIN(6.2511,4)/4</f>
        <v/>
      </c>
      <c r="H6" s="27">
        <f>MIN(3.3536,3)/3</f>
        <v/>
      </c>
      <c r="I6" s="27">
        <f>MIN(2.3942,2)/2</f>
        <v/>
      </c>
      <c r="J6" s="27">
        <f>MIN(2.7208,2)/2</f>
        <v/>
      </c>
      <c r="K6" s="27">
        <f>MIN(1.4639,1)/1</f>
        <v/>
      </c>
      <c r="L6" s="27">
        <f>MIN(4.4483,3)/3</f>
        <v/>
      </c>
      <c r="M6" s="27">
        <f>MIN(2.4906,2)/2</f>
        <v/>
      </c>
      <c r="N6" s="27">
        <f>MIN(0.0,1)/1</f>
        <v/>
      </c>
      <c r="O6" s="27">
        <f>MIN(15.0625,9)/9</f>
        <v/>
      </c>
      <c r="P6" s="27">
        <f>MIN(10.1381,8)/8</f>
        <v/>
      </c>
      <c r="Q6" s="27">
        <f>MIN(20.4028,9)/9</f>
        <v/>
      </c>
      <c r="R6" s="27">
        <f>MIN(2.5972,2)/2</f>
        <v/>
      </c>
      <c r="S6" s="27">
        <f>MIN(15.2406,12)/12</f>
        <v/>
      </c>
      <c r="T6" s="27">
        <f>MIN(3.4786,3)/3</f>
        <v/>
      </c>
      <c r="U6" s="27">
        <f>MIN(0.0,3)/3</f>
        <v/>
      </c>
      <c r="V6" s="27">
        <f>MIN(2.7483,2)/2</f>
        <v/>
      </c>
      <c r="W6" s="27">
        <f>MIN(5.1081,4)/4</f>
        <v/>
      </c>
      <c r="X6" s="27">
        <f>MIN(6.3644,5)/5</f>
        <v/>
      </c>
      <c r="Y6" s="27">
        <f>MIN(10.2725,6)/6</f>
        <v/>
      </c>
      <c r="Z6" s="27">
        <f>MIN(5.4219,3)/3</f>
        <v/>
      </c>
      <c r="AA6" s="27">
        <f>MIN(0.0,4)/4</f>
        <v/>
      </c>
      <c r="AB6" s="27">
        <f>MIN(27.2044,15)/15</f>
        <v/>
      </c>
      <c r="AC6" s="27">
        <f>MIN(6.2703,4)/4</f>
        <v/>
      </c>
      <c r="AD6" s="27">
        <f>MIN(4.5958,4)/4</f>
        <v/>
      </c>
      <c r="AE6" s="27">
        <f>MIN(25.7533,17)/17</f>
        <v/>
      </c>
      <c r="AF6" s="27">
        <f>MIN(7.4011,6)/6</f>
        <v/>
      </c>
    </row>
  </sheetData>
  <mergeCells count="2">
    <mergeCell ref="A1:AF1"/>
    <mergeCell ref="A2:C2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7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26.1" customHeight="1">
      <c r="A1" s="1" t="inlineStr">
        <is>
          <t>DETTAGLIO SICUREZZA INFORMATICA - % veritiera per singolo corso (ore effettive cappate al 100% della durata attesa)</t>
        </is>
      </c>
    </row>
    <row r="2" ht="17.1" customHeight="1">
      <c r="A2" s="26" t="inlineStr">
        <is>
          <t>Durata attesa (h)</t>
        </is>
      </c>
      <c r="D2" s="26" t="n">
        <v>20</v>
      </c>
      <c r="E2" s="26" t="n">
        <v>5</v>
      </c>
      <c r="F2" s="26" t="n">
        <v>2</v>
      </c>
      <c r="G2" s="26" t="n">
        <v>17</v>
      </c>
      <c r="H2" s="26" t="n">
        <v>25</v>
      </c>
      <c r="I2" s="26" t="n">
        <v>20</v>
      </c>
      <c r="J2" s="26" t="n">
        <v>16</v>
      </c>
      <c r="K2" s="26" t="n">
        <v>20</v>
      </c>
      <c r="L2" s="26" t="n">
        <v>5</v>
      </c>
      <c r="M2" s="26" t="n">
        <v>7</v>
      </c>
      <c r="N2" s="26" t="n">
        <v>7</v>
      </c>
      <c r="O2" s="26" t="n">
        <v>2</v>
      </c>
      <c r="P2" s="26" t="n">
        <v>2</v>
      </c>
      <c r="Q2" s="26" t="n">
        <v>3</v>
      </c>
      <c r="R2" s="26" t="n">
        <v>2</v>
      </c>
      <c r="S2" s="26" t="n">
        <v>3</v>
      </c>
    </row>
    <row r="3" ht="56.1" customHeight="1">
      <c r="A3" s="2" t="inlineStr">
        <is>
          <t>Discente</t>
        </is>
      </c>
      <c r="B3" s="2" t="inlineStr">
        <is>
          <t>Codice Fiscale</t>
        </is>
      </c>
      <c r="C3" s="2" t="inlineStr">
        <is>
          <t>Percorso Formativo</t>
        </is>
      </c>
      <c r="D3" s="2" t="inlineStr">
        <is>
          <t>GDPR e nuove normative Europee</t>
        </is>
      </c>
      <c r="E3" s="2" t="inlineStr">
        <is>
          <t>Elementi base di sicurezza informatica</t>
        </is>
      </c>
      <c r="F3" s="2" t="inlineStr">
        <is>
          <t>Virus e Antivirus per tutti</t>
        </is>
      </c>
      <c r="G3" s="2" t="inlineStr">
        <is>
          <t>La Cyber Security</t>
        </is>
      </c>
      <c r="H3" s="2" t="inlineStr">
        <is>
          <t>La Network Security</t>
        </is>
      </c>
      <c r="I3" s="2" t="inlineStr">
        <is>
          <t>Cloud e Fog Computing</t>
        </is>
      </c>
      <c r="J3" s="2" t="inlineStr">
        <is>
          <t>I sistemi cyber fisici</t>
        </is>
      </c>
      <c r="K3" s="2" t="inlineStr">
        <is>
          <t>Internet delle Cose e delle Macchine</t>
        </is>
      </c>
      <c r="L3" s="2" t="inlineStr">
        <is>
          <t>Tecnologie IoT e sviluppo</t>
        </is>
      </c>
      <c r="M3" s="2" t="inlineStr">
        <is>
          <t>La sicurezza nelle Tecnologie IoT</t>
        </is>
      </c>
      <c r="N3" s="2" t="inlineStr">
        <is>
          <t>Il Ruolo dell'Ethical Hacker in azienda</t>
        </is>
      </c>
      <c r="O3" s="2" t="inlineStr">
        <is>
          <t>Prevenire i rischi sui device mobili</t>
        </is>
      </c>
      <c r="P3" s="2" t="inlineStr">
        <is>
          <t>Gli attacchi tramite Ransomware</t>
        </is>
      </c>
      <c r="Q3" s="2" t="inlineStr">
        <is>
          <t>Prevenire gli attacchi tramite posta elettronica</t>
        </is>
      </c>
      <c r="R3" s="2" t="inlineStr">
        <is>
          <t>Cosa e il Cloud: utilizzo, funzionalita e sicurezza</t>
        </is>
      </c>
      <c r="S3" s="2" t="inlineStr">
        <is>
          <t>Sicurezza e Password Management</t>
        </is>
      </c>
    </row>
    <row r="4" ht="17.1" customHeight="1">
      <c r="A4" s="13" t="inlineStr">
        <is>
          <t>CARABLUT VICTOR</t>
        </is>
      </c>
      <c r="B4" s="14" t="inlineStr">
        <is>
          <t>CRBVTR94A11Z140B</t>
        </is>
      </c>
      <c r="C4" s="13" t="inlineStr">
        <is>
          <t>Sicurezza Informatica - Tecninf - Fondoconoscenza</t>
        </is>
      </c>
      <c r="D4" s="27">
        <f>MIN(11.9453,20)/20</f>
        <v/>
      </c>
      <c r="E4" s="27">
        <f>MIN(9.9044,5)/5</f>
        <v/>
      </c>
      <c r="F4" s="27">
        <f>MIN(0.0,2)/2</f>
        <v/>
      </c>
      <c r="G4" s="27">
        <f>MIN(0.9919,17)/17</f>
        <v/>
      </c>
      <c r="H4" s="27">
        <f>MIN(1.8014,25)/25</f>
        <v/>
      </c>
      <c r="I4" s="27">
        <f>MIN(8.7972,20)/20</f>
        <v/>
      </c>
      <c r="J4" s="27">
        <f>MIN(8.8236,16)/16</f>
        <v/>
      </c>
      <c r="K4" s="27">
        <f>MIN(3.8575,20)/20</f>
        <v/>
      </c>
      <c r="L4" s="27">
        <f>MIN(0.0,5)/5</f>
        <v/>
      </c>
      <c r="M4" s="27">
        <f>MIN(0.0,7)/7</f>
        <v/>
      </c>
      <c r="N4" s="27">
        <f>MIN(7.1564,7)/7</f>
        <v/>
      </c>
      <c r="O4" s="27">
        <f>MIN(0.0,2)/2</f>
        <v/>
      </c>
      <c r="P4" s="27">
        <f>MIN(0.8433,2)/2</f>
        <v/>
      </c>
      <c r="Q4" s="27">
        <f>MIN(0.0,3)/3</f>
        <v/>
      </c>
      <c r="R4" s="27">
        <f>MIN(0.0,2)/2</f>
        <v/>
      </c>
      <c r="S4" s="27">
        <f>MIN(0.0,3)/3</f>
        <v/>
      </c>
    </row>
    <row r="5" ht="17.1" customHeight="1">
      <c r="A5" s="13" t="inlineStr">
        <is>
          <t>PASSIO ROBERTA</t>
        </is>
      </c>
      <c r="B5" s="14" t="inlineStr">
        <is>
          <t>PSSRRT76L56H501O</t>
        </is>
      </c>
      <c r="C5" s="13" t="inlineStr">
        <is>
          <t>Sicurezza Informatica - Tecninf - Fondoconoscenza</t>
        </is>
      </c>
      <c r="D5" s="27">
        <f>MIN(0.495,20)/20</f>
        <v/>
      </c>
      <c r="E5" s="27">
        <f>MIN(0.5689,5)/5</f>
        <v/>
      </c>
      <c r="F5" s="27">
        <f>MIN(1.7764,2)/2</f>
        <v/>
      </c>
      <c r="G5" s="27">
        <f>MIN(13.8275,17)/17</f>
        <v/>
      </c>
      <c r="H5" s="27">
        <f>MIN(13.5889,25)/25</f>
        <v/>
      </c>
      <c r="I5" s="27">
        <f>MIN(1.6156,20)/20</f>
        <v/>
      </c>
      <c r="J5" s="27">
        <f>MIN(12.8208,16)/16</f>
        <v/>
      </c>
      <c r="K5" s="27">
        <f>MIN(11.8939,20)/20</f>
        <v/>
      </c>
      <c r="L5" s="27">
        <f>MIN(7.41,5)/5</f>
        <v/>
      </c>
      <c r="M5" s="27">
        <f>MIN(9.7789,7)/7</f>
        <v/>
      </c>
      <c r="N5" s="27">
        <f>MIN(14.8958,7)/7</f>
        <v/>
      </c>
      <c r="O5" s="27">
        <f>MIN(2.3922,2)/2</f>
        <v/>
      </c>
      <c r="P5" s="27">
        <f>MIN(0.21,2)/2</f>
        <v/>
      </c>
      <c r="Q5" s="27">
        <f>MIN(7.6872,3)/3</f>
        <v/>
      </c>
      <c r="R5" s="27">
        <f>MIN(0.0,2)/2</f>
        <v/>
      </c>
      <c r="S5" s="27">
        <f>MIN(3.3433,3)/3</f>
        <v/>
      </c>
    </row>
    <row r="6" ht="17.1" customHeight="1">
      <c r="A6" s="13" t="inlineStr">
        <is>
          <t>PRASAD RAKESH KUMAR</t>
        </is>
      </c>
      <c r="B6" s="14" t="inlineStr">
        <is>
          <t>PRSRSH87S19H501S</t>
        </is>
      </c>
      <c r="C6" s="13" t="inlineStr">
        <is>
          <t>Sicurezza Informatica - Tecninf - Fondoconoscenza</t>
        </is>
      </c>
      <c r="D6" s="27">
        <f>MIN(0.0,20)/20</f>
        <v/>
      </c>
      <c r="E6" s="27">
        <f>MIN(0.0,5)/5</f>
        <v/>
      </c>
      <c r="F6" s="27">
        <f>MIN(0.0,2)/2</f>
        <v/>
      </c>
      <c r="G6" s="27">
        <f>MIN(6.4183,17)/17</f>
        <v/>
      </c>
      <c r="H6" s="27">
        <f>MIN(0.0,25)/25</f>
        <v/>
      </c>
      <c r="I6" s="27">
        <f>MIN(0.7822,20)/20</f>
        <v/>
      </c>
      <c r="J6" s="27">
        <f>MIN(0.0,16)/16</f>
        <v/>
      </c>
      <c r="K6" s="27">
        <f>MIN(0.0,20)/20</f>
        <v/>
      </c>
      <c r="L6" s="27">
        <f>MIN(0.0,5)/5</f>
        <v/>
      </c>
      <c r="M6" s="27">
        <f>MIN(0.0,7)/7</f>
        <v/>
      </c>
      <c r="N6" s="27">
        <f>MIN(0.0,7)/7</f>
        <v/>
      </c>
      <c r="O6" s="27">
        <f>MIN(0.0,2)/2</f>
        <v/>
      </c>
      <c r="P6" s="27">
        <f>MIN(0.0,2)/2</f>
        <v/>
      </c>
      <c r="Q6" s="27">
        <f>MIN(0.0,3)/3</f>
        <v/>
      </c>
      <c r="R6" s="27">
        <f>MIN(0.0,2)/2</f>
        <v/>
      </c>
      <c r="S6" s="27">
        <f>MIN(0.0,3)/3</f>
        <v/>
      </c>
    </row>
  </sheetData>
  <mergeCells count="2">
    <mergeCell ref="A2:C2"/>
    <mergeCell ref="A1:S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2026-09-30T08:15:58Z</dcterms:created>
  <dcterms:modified xmlns:dcterms="http://purl.org/dc/terms/" xmlns:xsi="http://www.w3.org/2001/XMLSchema-instance" xsi:type="dcterms:W3CDTF">2026-09-30T08:15:59Z</dcterms:modified>
</cp:coreProperties>
</file>